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eesha\Downloads\"/>
    </mc:Choice>
  </mc:AlternateContent>
  <xr:revisionPtr revIDLastSave="0" documentId="8_{881BAC96-6DB9-43B1-AF57-E9CBBB1E8892}" xr6:coauthVersionLast="47" xr6:coauthVersionMax="47" xr10:uidLastSave="{00000000-0000-0000-0000-000000000000}"/>
  <bookViews>
    <workbookView xWindow="-110" yWindow="-110" windowWidth="19420" windowHeight="11500" xr2:uid="{1DF15E1F-1D51-4B47-8D27-390E4BA4194E}"/>
  </bookViews>
  <sheets>
    <sheet name="MR. SAGAR DUBERKAR" sheetId="1" r:id="rId1"/>
  </sheets>
  <definedNames>
    <definedName name="_xlnm.Print_Area" localSheetId="0">'MR. SAGAR DUBERKAR'!$A$1:$K$81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1" l="1"/>
  <c r="E20" i="1"/>
  <c r="E21" i="1" s="1"/>
  <c r="J28" i="1" l="1"/>
  <c r="G21" i="1"/>
  <c r="G31" i="1" l="1"/>
  <c r="J31" i="1" s="1"/>
  <c r="J30" i="1"/>
  <c r="G32" i="1"/>
  <c r="J32" i="1" s="1"/>
  <c r="J34" i="1" l="1"/>
  <c r="J36" i="1" l="1"/>
  <c r="J35" i="1"/>
  <c r="J37" i="1" s="1"/>
  <c r="J40" i="1" s="1"/>
  <c r="J60" i="1" s="1"/>
</calcChain>
</file>

<file path=xl/sharedStrings.xml><?xml version="1.0" encoding="utf-8"?>
<sst xmlns="http://schemas.openxmlformats.org/spreadsheetml/2006/main" count="101" uniqueCount="95">
  <si>
    <r>
      <rPr>
        <b/>
        <sz val="28"/>
        <color theme="0" tint="-0.499984740745262"/>
        <rFont val="Calibri"/>
        <family val="2"/>
        <scheme val="minor"/>
      </rPr>
      <t xml:space="preserve">THE SHREE </t>
    </r>
    <r>
      <rPr>
        <b/>
        <sz val="28"/>
        <color rgb="FFFFC000"/>
        <rFont val="Calibri"/>
        <family val="2"/>
        <scheme val="minor"/>
      </rPr>
      <t xml:space="preserve">CREATIONS 
</t>
    </r>
  </si>
  <si>
    <t>112/1, GURU GAJANAN INDL. ESTATE, BEHIND SNGT TRANSPORT, MUMBAI AGRA ROAD, MIDC VIHOLI, NASHIK -422010.</t>
  </si>
  <si>
    <t>EMAIL ID.: shreesaiwintech@gmail.com, Mobile No.: 7057814114. GSTIN:  27BZRPR4552F1ZU</t>
  </si>
  <si>
    <t xml:space="preserve">    PURCHASE ORDER / CONFIRMATION LETTER </t>
  </si>
  <si>
    <t xml:space="preserve">ORDER NO : </t>
  </si>
  <si>
    <t>185/26-27</t>
  </si>
  <si>
    <t xml:space="preserve">DATE : </t>
  </si>
  <si>
    <t xml:space="preserve">  </t>
  </si>
  <si>
    <t>FINAL MEASUREMENT DATE</t>
  </si>
  <si>
    <t>INSTALLATION DATE</t>
  </si>
  <si>
    <t>1 Month</t>
  </si>
  <si>
    <t>45 Days Form Day of Final Measurment &amp; Payment</t>
  </si>
  <si>
    <t>Client Name</t>
  </si>
  <si>
    <t xml:space="preserve">MR. SAGAR DUBERKAR SIR </t>
  </si>
  <si>
    <t>Contact Details</t>
  </si>
  <si>
    <t>Address</t>
  </si>
  <si>
    <t xml:space="preserve">MAHATMA NAGAR </t>
  </si>
  <si>
    <t>GSTIN</t>
  </si>
  <si>
    <t>NA</t>
  </si>
  <si>
    <t>Final Measurment Taken by / Check by</t>
  </si>
  <si>
    <t>KIRAN PORJE</t>
  </si>
  <si>
    <t>Reference</t>
  </si>
  <si>
    <t>MANOJ PATIL SIR ROYAL ENTERPRISES</t>
  </si>
  <si>
    <t xml:space="preserve">CONFIRMATION  MADE BY </t>
  </si>
  <si>
    <t xml:space="preserve">RUSHIKESH CHAVAN </t>
  </si>
  <si>
    <t xml:space="preserve">DECISION GIVEN BY </t>
  </si>
  <si>
    <t xml:space="preserve">CHECKED BY </t>
  </si>
  <si>
    <t xml:space="preserve">SATYAJIT PANDA </t>
  </si>
  <si>
    <t>SR NO</t>
  </si>
  <si>
    <t xml:space="preserve">Location </t>
  </si>
  <si>
    <t>Width</t>
  </si>
  <si>
    <t>Height</t>
  </si>
  <si>
    <t xml:space="preserve">Total Sq Feet </t>
  </si>
  <si>
    <t>Qty</t>
  </si>
  <si>
    <t xml:space="preserve">Window Type </t>
  </si>
  <si>
    <t xml:space="preserve">Glass </t>
  </si>
  <si>
    <t xml:space="preserve">Lock Type </t>
  </si>
  <si>
    <t>Profile</t>
  </si>
  <si>
    <t>Mesh</t>
  </si>
  <si>
    <t xml:space="preserve">FINAL MEASUREMENT </t>
  </si>
  <si>
    <t>W1</t>
  </si>
  <si>
    <t xml:space="preserve">HALL </t>
  </si>
  <si>
    <t xml:space="preserve">4 TRACK 3 GLASS 1 MESH </t>
  </si>
  <si>
    <t xml:space="preserve">5 MM CLEAR GLASS </t>
  </si>
  <si>
    <t>L HANDLE</t>
  </si>
  <si>
    <t xml:space="preserve">UPVC WHITE </t>
  </si>
  <si>
    <t>FIBER</t>
  </si>
  <si>
    <t>TOTAL</t>
  </si>
  <si>
    <t xml:space="preserve">Accounts Contact No: 7378341414 </t>
  </si>
  <si>
    <t>Production Contact No: 7378711414/ 7378441414</t>
  </si>
  <si>
    <t>Note 1</t>
  </si>
  <si>
    <t xml:space="preserve">WARRANTY ON PROFILE AS PER SIMTA ASTRIX CERTIFICATE. </t>
  </si>
  <si>
    <t>Note 2</t>
  </si>
  <si>
    <t>WARRANTY ON HARDWARE 2 YEARS FROM DATE OF INSTALLATION.</t>
  </si>
  <si>
    <t>Note 3</t>
  </si>
  <si>
    <t xml:space="preserve">PAYMENT DETAILS </t>
  </si>
  <si>
    <t xml:space="preserve">Total  Sq Feet </t>
  </si>
  <si>
    <t>Sq Feet</t>
  </si>
  <si>
    <t>Rate</t>
  </si>
  <si>
    <t xml:space="preserve">Basic </t>
  </si>
  <si>
    <t>Increse Rate</t>
  </si>
  <si>
    <t>4 Track Charges</t>
  </si>
  <si>
    <t xml:space="preserve">Transport </t>
  </si>
  <si>
    <t>Total</t>
  </si>
  <si>
    <t>CGST 9%</t>
  </si>
  <si>
    <t>SGST 9%</t>
  </si>
  <si>
    <t>Final Billing Amt</t>
  </si>
  <si>
    <t>Ac Holder Name :</t>
  </si>
  <si>
    <t>The Shree Creations</t>
  </si>
  <si>
    <t>Bank Details :</t>
  </si>
  <si>
    <t>Branch :</t>
  </si>
  <si>
    <t>KOTAK MAHINDRA BANK, AMBAD BRANCH</t>
  </si>
  <si>
    <t>IFSC Code :</t>
  </si>
  <si>
    <t>KKBK0002063</t>
  </si>
  <si>
    <t>Company Representative Name: ___________________________
Signature: ________________________________
Date: ___________________</t>
  </si>
  <si>
    <t>Customer Name: ___________________________
Signature: ________________________________
Date: ___________________</t>
  </si>
  <si>
    <t xml:space="preserve">TERMS &amp; CONDITIONS : </t>
  </si>
  <si>
    <t>Dispatch date should be calculated from the date on which the final measurement was taken.</t>
  </si>
  <si>
    <t xml:space="preserve">IF any cause site is not ready for installation on or within seven days from installation date, customer must pay 100% balance payment, further delivery schedule will be finalized as per available slot. </t>
  </si>
  <si>
    <t xml:space="preserve">Grill Painting &amp; Granite Cleaning must be done before dispatch date. Dispatch will be done after receiving grill painting &amp; granite cleaning confirmation from clients . </t>
  </si>
  <si>
    <t>The client or a representative of the client must sign the delivery challan upon the arrival of the windows at the site.</t>
  </si>
  <si>
    <t>An additional 30 mm will be added to the actual size of the windows to account for cutting and welding wastage. Billing Per Sq.ft. will Calculated as per Cutting list.</t>
  </si>
  <si>
    <t xml:space="preserve">It is customer responsibility to check all windows with proper operation, silicon etc before installation team leaves the site . </t>
  </si>
  <si>
    <t>5MM Toughened Glass Charges - Rs 45/- Per Sqft, Grill Charges - Rs 250/- Per Sqft + Taxes</t>
  </si>
  <si>
    <t>We would like to inform you that for all orders with a value below ₹1,00,000, we require 100% advance payment before processing the order.</t>
  </si>
  <si>
    <t>We need the site to be fully ready for the window installation and handover to be completed at one time.
If any window installation remains pending due to the client’s site conditions, line shifting charges and transportation charges will be applicable at actuals.</t>
  </si>
  <si>
    <t>If the site is delayed due to the client, 100% payment will still be required. The client cannot hold any payment on account of such delays.</t>
  </si>
  <si>
    <t>PAYMENT TERMS</t>
  </si>
  <si>
    <t>100% ADVANCE PAYMENT</t>
  </si>
  <si>
    <t>As per Company terms, production will commence only after receivement of the payment. Please note that if there is any delay in payment, company  will not be responsible for any resulting delay in the order.</t>
  </si>
  <si>
    <t>कंपनी अटींनुसार, पेमेंट प्राप्त झाल्यानंतरच उत्पादन सुरू केले जाईल. कृपया लक्षात घ्या की पेमेंटमध्ये उशीर झाल्यास, ऑर्डरमध्ये होणाऱ्या विलंबाबद्दल कंपनी जबाबदार राहणार नाही.</t>
  </si>
  <si>
    <t>I have read all the points carefully, especially points 1, 5, and 8, 9, 10 and I agree with the terms mentioned. I also agree with all the payment terms. If I fail to complete the payment as per the agreed terms, the company reserves the right to hold the material dispatch. If there is any delay in dispatch due to payment terms, the customer will be solely responsible for the delay.</t>
  </si>
  <si>
    <t>मी सर्व अटी काळजीपूर्वक वाचल्या आहेत, विशेषतः अट क्रमांक 1, 5 आणि 8, 9, 10 आणि मी त्या सर्व अटींशी सहमत आहे.तसेच मी सर्व पेमेंट अटींशी सहमत आहे. जर मी ठरल्याप्रमाणे पेमेंट पूर्ण केले नाही, तर कंपनीला साहित्याचा डिस्पॅच थांबवण्याचा अधिकार राहील. पेमेंटच्या अटींमुळे डिस्पॅचमध्ये उशीर झाल्यास, त्या उशीरासाठी ग्राहक स्वतः जबाबदार राहील.</t>
  </si>
  <si>
    <t xml:space="preserve">                                        Role Name                                                Date                           Signature     
                                        Made  By Nikita Patil                         __________             
                                        Checked By Rushikesh Chavan          __________          
                                        Approved By Satyajit Panda             __________             </t>
  </si>
  <si>
    <t xml:space="preserve"> Remarks
______________ I agree with all terms and conditions.
______________ Verified and found correct.
______________ Approved for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</si>
</sst>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 [$₹-445]\ * #,##0.00_ ;_ [$₹-445]\ * \-#,##0.00_ ;_ [$₹-445]\ * &quot;-&quot;??_ ;_ @_ "/>
    <numFmt numFmtId="166" formatCode="_ [$₹-445]\ * #,##0_ ;_ [$₹-445]\ * \-#,##0_ ;_ [$₹-445]\ * &quot;-&quot;??_ ;_ @_ "/>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28"/>
      <color theme="1"/>
      <name val="Calibri"/>
      <family val="2"/>
      <scheme val="minor"/>
    </font>
    <font>
      <b/>
      <sz val="28"/>
      <color theme="0" tint="-0.499984740745262"/>
      <name val="Calibri"/>
      <family val="2"/>
      <scheme val="minor"/>
    </font>
    <font>
      <b/>
      <sz val="28"/>
      <color rgb="FFFFC000"/>
      <name val="Calibri"/>
      <family val="2"/>
      <scheme val="minor"/>
    </font>
    <font>
      <b/>
      <sz val="18"/>
      <color theme="1"/>
      <name val="Calibri"/>
      <family val="2"/>
      <scheme val="minor"/>
    </font>
    <font>
      <b/>
      <sz val="22"/>
      <color theme="1"/>
      <name val="Calibri"/>
      <family val="2"/>
      <scheme val="minor"/>
    </font>
    <font>
      <b/>
      <i/>
      <sz val="16"/>
      <color theme="1"/>
      <name val="Calibri"/>
      <family val="2"/>
      <scheme val="minor"/>
    </font>
    <font>
      <b/>
      <sz val="16"/>
      <color theme="1"/>
      <name val="Calibri"/>
      <family val="2"/>
      <scheme val="minor"/>
    </font>
    <font>
      <b/>
      <i/>
      <u/>
      <sz val="16"/>
      <color theme="1"/>
      <name val="Calibri"/>
      <family val="2"/>
      <scheme val="minor"/>
    </font>
    <font>
      <b/>
      <u/>
      <sz val="18"/>
      <color theme="1"/>
      <name val="Calibri"/>
      <family val="2"/>
      <scheme val="minor"/>
    </font>
    <font>
      <b/>
      <i/>
      <u/>
      <sz val="18"/>
      <color theme="1"/>
      <name val="Calibri"/>
      <family val="2"/>
      <scheme val="minor"/>
    </font>
    <font>
      <sz val="12"/>
      <color theme="1"/>
      <name val="Calibri"/>
      <family val="2"/>
      <scheme val="minor"/>
    </font>
    <font>
      <b/>
      <sz val="18"/>
      <name val="Calibri"/>
      <family val="2"/>
    </font>
    <font>
      <b/>
      <sz val="72"/>
      <color theme="1"/>
      <name val="Calibri"/>
      <family val="2"/>
      <scheme val="minor"/>
    </font>
    <font>
      <sz val="18"/>
      <color theme="1"/>
      <name val="Calibri"/>
      <family val="2"/>
      <scheme val="minor"/>
    </font>
    <font>
      <b/>
      <sz val="18"/>
      <name val="Calibri"/>
      <family val="2"/>
      <scheme val="minor"/>
    </font>
    <font>
      <b/>
      <sz val="20"/>
      <color theme="1"/>
      <name val="Calibri"/>
      <family val="2"/>
      <scheme val="minor"/>
    </font>
    <font>
      <sz val="16"/>
      <color theme="1"/>
      <name val="Calibri"/>
      <family val="2"/>
      <scheme val="minor"/>
    </font>
    <font>
      <sz val="22"/>
      <color theme="1"/>
      <name val="Calibri"/>
      <family val="2"/>
      <scheme val="minor"/>
    </font>
    <font>
      <b/>
      <sz val="14"/>
      <color rgb="FFFF0000"/>
      <name val="Calibri"/>
      <family val="2"/>
      <scheme val="minor"/>
    </font>
    <font>
      <sz val="14"/>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C000"/>
        <bgColor indexed="64"/>
      </patternFill>
    </fill>
  </fills>
  <borders count="50">
    <border>
      <left/>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diagonal/>
    </border>
    <border>
      <left style="thin">
        <color indexed="64"/>
      </left>
      <right/>
      <top/>
      <bottom/>
      <diagonal/>
    </border>
    <border>
      <left style="medium">
        <color indexed="64"/>
      </left>
      <right/>
      <top/>
      <bottom/>
      <diagonal/>
    </border>
    <border>
      <left/>
      <right style="thin">
        <color indexed="64"/>
      </right>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188">
    <xf numFmtId="0" fontId="0" fillId="0" borderId="0" xfId="0"/>
    <xf numFmtId="0" fontId="2" fillId="0" borderId="12" xfId="0" applyFont="1" applyBorder="1" applyAlignment="1">
      <alignment horizontal="center" vertical="center" wrapText="1"/>
    </xf>
    <xf numFmtId="0" fontId="2" fillId="0" borderId="0" xfId="0" applyFont="1" applyAlignment="1">
      <alignment horizontal="center" vertical="center" wrapText="1"/>
    </xf>
    <xf numFmtId="0" fontId="8" fillId="0" borderId="15" xfId="0" applyFont="1" applyBorder="1" applyAlignment="1">
      <alignment vertical="center" wrapText="1"/>
    </xf>
    <xf numFmtId="14" fontId="9" fillId="0" borderId="16" xfId="0" applyNumberFormat="1" applyFont="1" applyBorder="1" applyAlignment="1">
      <alignment horizontal="center" vertical="center"/>
    </xf>
    <xf numFmtId="0" fontId="8" fillId="0" borderId="16" xfId="0" applyFont="1" applyBorder="1" applyAlignment="1">
      <alignment vertical="center"/>
    </xf>
    <xf numFmtId="0" fontId="2" fillId="0" borderId="12" xfId="0" applyFont="1" applyBorder="1" applyAlignment="1">
      <alignment vertical="top" wrapText="1"/>
    </xf>
    <xf numFmtId="0" fontId="2" fillId="0" borderId="0" xfId="0" applyFont="1" applyAlignment="1">
      <alignment vertical="top" wrapText="1"/>
    </xf>
    <xf numFmtId="15" fontId="9" fillId="0" borderId="16" xfId="0" applyNumberFormat="1" applyFont="1" applyBorder="1" applyAlignment="1">
      <alignment horizontal="center" vertical="center"/>
    </xf>
    <xf numFmtId="0" fontId="6" fillId="0" borderId="10" xfId="0" applyFont="1" applyBorder="1" applyAlignment="1">
      <alignment horizontal="center" vertical="center" wrapText="1"/>
    </xf>
    <xf numFmtId="0" fontId="6" fillId="0" borderId="31" xfId="0" applyFont="1" applyBorder="1" applyAlignment="1">
      <alignment horizontal="center" vertical="center" wrapText="1"/>
    </xf>
    <xf numFmtId="0" fontId="2" fillId="0" borderId="10" xfId="0" applyFont="1" applyBorder="1" applyAlignment="1">
      <alignment horizontal="center" vertical="center" wrapText="1"/>
    </xf>
    <xf numFmtId="0" fontId="13" fillId="0" borderId="0" xfId="0" applyFont="1" applyAlignment="1">
      <alignment vertical="center" wrapText="1"/>
    </xf>
    <xf numFmtId="0" fontId="6" fillId="2" borderId="10" xfId="0" applyFont="1" applyFill="1" applyBorder="1" applyAlignment="1">
      <alignment horizontal="center" vertical="center" wrapText="1"/>
    </xf>
    <xf numFmtId="0" fontId="2" fillId="0" borderId="31" xfId="0" applyFont="1" applyBorder="1" applyAlignment="1">
      <alignment horizontal="center" vertical="center" wrapText="1"/>
    </xf>
    <xf numFmtId="2" fontId="6" fillId="0" borderId="10" xfId="0" applyNumberFormat="1" applyFont="1" applyBorder="1" applyAlignment="1">
      <alignment horizontal="center" vertical="center" wrapText="1"/>
    </xf>
    <xf numFmtId="0" fontId="14" fillId="0" borderId="10" xfId="0" applyFont="1" applyBorder="1" applyAlignment="1">
      <alignment horizontal="center" vertical="center" wrapText="1"/>
    </xf>
    <xf numFmtId="0" fontId="2" fillId="0" borderId="0" xfId="0" applyFont="1"/>
    <xf numFmtId="0" fontId="2" fillId="2" borderId="10" xfId="0" applyFont="1" applyFill="1" applyBorder="1" applyAlignment="1">
      <alignment horizontal="center" vertical="center" wrapText="1"/>
    </xf>
    <xf numFmtId="0" fontId="15" fillId="0" borderId="0" xfId="0" applyFont="1"/>
    <xf numFmtId="0" fontId="16" fillId="0" borderId="0" xfId="0" applyFont="1"/>
    <xf numFmtId="0" fontId="6" fillId="2" borderId="0" xfId="0" applyFont="1" applyFill="1" applyAlignment="1">
      <alignment horizontal="center" vertical="center" wrapText="1"/>
    </xf>
    <xf numFmtId="0" fontId="16" fillId="0" borderId="10" xfId="0" applyFont="1" applyBorder="1" applyAlignment="1">
      <alignment vertical="center" wrapText="1"/>
    </xf>
    <xf numFmtId="0" fontId="16" fillId="3" borderId="10" xfId="0" applyFont="1" applyFill="1" applyBorder="1" applyAlignment="1">
      <alignment vertical="center" wrapText="1"/>
    </xf>
    <xf numFmtId="0" fontId="16" fillId="0" borderId="0" xfId="0" applyFont="1" applyAlignment="1">
      <alignment vertical="center" wrapText="1"/>
    </xf>
    <xf numFmtId="0" fontId="6" fillId="0" borderId="10" xfId="0" applyFont="1" applyBorder="1" applyAlignment="1">
      <alignment horizontal="center"/>
    </xf>
    <xf numFmtId="0" fontId="6" fillId="0" borderId="10" xfId="0" applyFont="1" applyBorder="1" applyAlignment="1">
      <alignment horizontal="center" wrapText="1"/>
    </xf>
    <xf numFmtId="0" fontId="6" fillId="0" borderId="33" xfId="0" applyFont="1" applyBorder="1" applyAlignment="1">
      <alignment wrapText="1"/>
    </xf>
    <xf numFmtId="0" fontId="6" fillId="0" borderId="35" xfId="0" applyFont="1" applyBorder="1" applyAlignment="1">
      <alignment wrapText="1"/>
    </xf>
    <xf numFmtId="15" fontId="6" fillId="0" borderId="10" xfId="0" applyNumberFormat="1" applyFont="1" applyBorder="1"/>
    <xf numFmtId="2" fontId="6" fillId="0" borderId="10" xfId="0" applyNumberFormat="1" applyFont="1" applyBorder="1"/>
    <xf numFmtId="0" fontId="6" fillId="0" borderId="31" xfId="0" applyFont="1" applyBorder="1"/>
    <xf numFmtId="0" fontId="6" fillId="0" borderId="33" xfId="0" applyFont="1" applyBorder="1" applyAlignment="1">
      <alignment horizontal="center"/>
    </xf>
    <xf numFmtId="2" fontId="6" fillId="0" borderId="33" xfId="0" applyNumberFormat="1" applyFont="1" applyBorder="1" applyAlignment="1">
      <alignment horizontal="center"/>
    </xf>
    <xf numFmtId="0" fontId="6" fillId="0" borderId="31" xfId="0" applyFont="1" applyBorder="1" applyAlignment="1">
      <alignment horizontal="center"/>
    </xf>
    <xf numFmtId="0" fontId="16" fillId="0" borderId="36" xfId="0" applyFont="1" applyBorder="1"/>
    <xf numFmtId="0" fontId="6" fillId="0" borderId="10" xfId="0" applyFont="1" applyBorder="1"/>
    <xf numFmtId="0" fontId="6" fillId="0" borderId="36" xfId="0" applyFont="1" applyBorder="1"/>
    <xf numFmtId="0" fontId="16" fillId="0" borderId="35" xfId="0" applyFont="1" applyBorder="1" applyAlignment="1">
      <alignment wrapText="1"/>
    </xf>
    <xf numFmtId="0" fontId="16" fillId="0" borderId="10" xfId="0" applyFont="1" applyBorder="1"/>
    <xf numFmtId="166" fontId="16" fillId="0" borderId="28" xfId="0" applyNumberFormat="1" applyFont="1" applyBorder="1"/>
    <xf numFmtId="0" fontId="9" fillId="0" borderId="35" xfId="0" applyFont="1" applyBorder="1" applyAlignment="1">
      <alignment horizontal="center" vertical="center" wrapText="1"/>
    </xf>
    <xf numFmtId="0" fontId="19" fillId="0" borderId="0" xfId="0" applyFont="1"/>
    <xf numFmtId="0" fontId="19" fillId="0" borderId="0" xfId="0" applyFont="1" applyAlignment="1">
      <alignment wrapText="1"/>
    </xf>
    <xf numFmtId="0" fontId="0" fillId="0" borderId="0" xfId="0" applyAlignment="1">
      <alignment vertical="center"/>
    </xf>
    <xf numFmtId="0" fontId="20" fillId="0" borderId="0" xfId="0" applyFont="1" applyAlignment="1">
      <alignment vertical="center"/>
    </xf>
    <xf numFmtId="0" fontId="22" fillId="0" borderId="0" xfId="0" applyFont="1"/>
    <xf numFmtId="0" fontId="0" fillId="0" borderId="0" xfId="0" applyAlignment="1">
      <alignment wrapText="1"/>
    </xf>
    <xf numFmtId="0" fontId="22" fillId="0" borderId="17" xfId="0" applyFont="1" applyBorder="1" applyAlignment="1">
      <alignment horizontal="center" vertical="center"/>
    </xf>
    <xf numFmtId="0" fontId="22" fillId="0" borderId="6" xfId="0" applyFont="1" applyBorder="1" applyAlignment="1">
      <alignment horizontal="center" vertical="center"/>
    </xf>
    <xf numFmtId="0" fontId="22" fillId="0" borderId="18" xfId="0" applyFont="1" applyBorder="1" applyAlignment="1">
      <alignment horizontal="center" vertical="center"/>
    </xf>
    <xf numFmtId="0" fontId="22" fillId="0" borderId="44" xfId="0" applyFont="1" applyBorder="1" applyAlignment="1">
      <alignment horizontal="left" vertical="center" wrapText="1"/>
    </xf>
    <xf numFmtId="0" fontId="22" fillId="0" borderId="24" xfId="0" applyFont="1" applyBorder="1" applyAlignment="1">
      <alignment horizontal="left" vertical="center"/>
    </xf>
    <xf numFmtId="0" fontId="22" fillId="0" borderId="45" xfId="0" applyFont="1" applyBorder="1" applyAlignment="1">
      <alignment horizontal="left" vertical="center"/>
    </xf>
    <xf numFmtId="0" fontId="22" fillId="0" borderId="35" xfId="0" applyFont="1" applyBorder="1" applyAlignment="1">
      <alignment horizontal="left" vertical="center"/>
    </xf>
    <xf numFmtId="0" fontId="22" fillId="0" borderId="10" xfId="0" applyFont="1" applyBorder="1" applyAlignment="1">
      <alignment horizontal="left" vertical="center"/>
    </xf>
    <xf numFmtId="0" fontId="22" fillId="0" borderId="37" xfId="0" applyFont="1" applyBorder="1" applyAlignment="1">
      <alignment horizontal="left" vertical="center"/>
    </xf>
    <xf numFmtId="0" fontId="22" fillId="0" borderId="47" xfId="0" applyFont="1" applyBorder="1" applyAlignment="1">
      <alignment horizontal="left" vertical="center"/>
    </xf>
    <xf numFmtId="0" fontId="22" fillId="0" borderId="48" xfId="0" applyFont="1" applyBorder="1" applyAlignment="1">
      <alignment horizontal="left" vertical="center"/>
    </xf>
    <xf numFmtId="0" fontId="22" fillId="0" borderId="49" xfId="0" applyFont="1" applyBorder="1" applyAlignment="1">
      <alignment horizontal="left" vertical="center"/>
    </xf>
    <xf numFmtId="0" fontId="22" fillId="0" borderId="9" xfId="0" applyFont="1" applyBorder="1" applyAlignment="1">
      <alignment horizontal="left" vertical="center" wrapText="1"/>
    </xf>
    <xf numFmtId="0" fontId="22" fillId="0" borderId="9" xfId="0" applyFont="1" applyBorder="1" applyAlignment="1">
      <alignment horizontal="left" vertical="center"/>
    </xf>
    <xf numFmtId="0" fontId="22" fillId="0" borderId="43" xfId="0" applyFont="1" applyBorder="1" applyAlignment="1">
      <alignment horizontal="left" vertical="center"/>
    </xf>
    <xf numFmtId="0" fontId="22" fillId="0" borderId="0" xfId="0" applyFont="1" applyAlignment="1">
      <alignment horizontal="left" vertical="center"/>
    </xf>
    <xf numFmtId="0" fontId="22" fillId="0" borderId="46" xfId="0" applyFont="1" applyBorder="1" applyAlignment="1">
      <alignment horizontal="left" vertical="center"/>
    </xf>
    <xf numFmtId="0" fontId="22" fillId="0" borderId="20" xfId="0" applyFont="1" applyBorder="1" applyAlignment="1">
      <alignment horizontal="left" vertical="center"/>
    </xf>
    <xf numFmtId="0" fontId="22" fillId="0" borderId="21" xfId="0" applyFont="1" applyBorder="1" applyAlignment="1">
      <alignment horizontal="left" vertical="center"/>
    </xf>
    <xf numFmtId="0" fontId="22" fillId="0" borderId="0" xfId="0" applyFont="1" applyAlignment="1">
      <alignment horizontal="center"/>
    </xf>
    <xf numFmtId="0" fontId="23" fillId="0" borderId="42" xfId="0" applyFont="1" applyBorder="1" applyAlignment="1">
      <alignment vertical="center" wrapText="1"/>
    </xf>
    <xf numFmtId="0" fontId="23" fillId="0" borderId="9" xfId="0" applyFont="1" applyBorder="1" applyAlignment="1">
      <alignment vertical="center" wrapText="1"/>
    </xf>
    <xf numFmtId="0" fontId="23" fillId="0" borderId="13" xfId="0" applyFont="1" applyBorder="1" applyAlignment="1">
      <alignment vertical="center" wrapText="1"/>
    </xf>
    <xf numFmtId="0" fontId="23" fillId="0" borderId="0" xfId="0" applyFont="1" applyAlignment="1">
      <alignment vertical="center" wrapText="1"/>
    </xf>
    <xf numFmtId="0" fontId="23" fillId="0" borderId="22" xfId="0" applyFont="1" applyBorder="1" applyAlignment="1">
      <alignment vertical="center" wrapText="1"/>
    </xf>
    <xf numFmtId="0" fontId="23" fillId="0" borderId="20" xfId="0" applyFont="1" applyBorder="1" applyAlignment="1">
      <alignment vertical="center" wrapText="1"/>
    </xf>
    <xf numFmtId="0" fontId="23" fillId="0" borderId="43" xfId="0" applyFont="1" applyBorder="1" applyAlignment="1">
      <alignment vertical="center" wrapText="1"/>
    </xf>
    <xf numFmtId="0" fontId="23" fillId="0" borderId="46" xfId="0" applyFont="1" applyBorder="1" applyAlignment="1">
      <alignment vertical="center" wrapText="1"/>
    </xf>
    <xf numFmtId="0" fontId="23" fillId="0" borderId="21" xfId="0" applyFont="1" applyBorder="1" applyAlignment="1">
      <alignment vertical="center" wrapText="1"/>
    </xf>
    <xf numFmtId="0" fontId="7" fillId="0" borderId="10" xfId="0" applyFont="1" applyBorder="1" applyAlignment="1">
      <alignment horizontal="center" vertical="center"/>
    </xf>
    <xf numFmtId="166" fontId="7" fillId="0" borderId="10" xfId="0" applyNumberFormat="1" applyFont="1" applyBorder="1" applyAlignment="1">
      <alignment horizontal="center" vertical="center"/>
    </xf>
    <xf numFmtId="0" fontId="21" fillId="0" borderId="40"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41" xfId="0" applyFont="1" applyBorder="1" applyAlignment="1">
      <alignment horizontal="center" vertical="center" wrapText="1"/>
    </xf>
    <xf numFmtId="0" fontId="23" fillId="0" borderId="42"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43" xfId="0" applyFont="1" applyBorder="1" applyAlignment="1">
      <alignment horizontal="center" vertical="center" wrapText="1"/>
    </xf>
    <xf numFmtId="0" fontId="21" fillId="0" borderId="42" xfId="0" applyFont="1" applyBorder="1" applyAlignment="1">
      <alignment horizontal="center" vertical="center" wrapText="1"/>
    </xf>
    <xf numFmtId="0" fontId="21" fillId="0" borderId="9" xfId="0" applyFont="1" applyBorder="1" applyAlignment="1">
      <alignment horizontal="center" vertical="center"/>
    </xf>
    <xf numFmtId="0" fontId="21" fillId="0" borderId="43" xfId="0" applyFont="1" applyBorder="1" applyAlignment="1">
      <alignment horizontal="center" vertical="center"/>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9" fillId="0" borderId="34" xfId="0" applyFont="1" applyBorder="1" applyAlignment="1">
      <alignment horizontal="left" vertical="center" wrapText="1"/>
    </xf>
    <xf numFmtId="0" fontId="9" fillId="0" borderId="10" xfId="0" applyFont="1" applyBorder="1" applyAlignment="1">
      <alignment horizontal="left" vertical="center"/>
    </xf>
    <xf numFmtId="0" fontId="9" fillId="0" borderId="37" xfId="0" applyFont="1" applyBorder="1" applyAlignment="1">
      <alignment horizontal="left" vertical="center"/>
    </xf>
    <xf numFmtId="0" fontId="9" fillId="0" borderId="10" xfId="0" applyFont="1" applyBorder="1" applyAlignment="1">
      <alignment horizontal="left" vertical="center" wrapText="1"/>
    </xf>
    <xf numFmtId="0" fontId="9" fillId="0" borderId="37" xfId="0" applyFont="1" applyBorder="1" applyAlignment="1">
      <alignment horizontal="left" vertical="center" wrapText="1"/>
    </xf>
    <xf numFmtId="0" fontId="9" fillId="0" borderId="28" xfId="0" applyFont="1" applyBorder="1" applyAlignment="1">
      <alignment horizontal="left" vertical="top" wrapText="1"/>
    </xf>
    <xf numFmtId="0" fontId="9" fillId="0" borderId="29" xfId="0" applyFont="1" applyBorder="1" applyAlignment="1">
      <alignment horizontal="left" vertical="top"/>
    </xf>
    <xf numFmtId="0" fontId="9" fillId="0" borderId="34" xfId="0" applyFont="1" applyBorder="1" applyAlignment="1">
      <alignment horizontal="left" vertical="top"/>
    </xf>
    <xf numFmtId="0" fontId="18" fillId="0" borderId="38" xfId="0" applyFont="1" applyBorder="1" applyAlignment="1">
      <alignment horizontal="center" vertical="center"/>
    </xf>
    <xf numFmtId="0" fontId="18" fillId="0" borderId="39" xfId="0" applyFont="1" applyBorder="1" applyAlignment="1">
      <alignment horizontal="center" vertical="center"/>
    </xf>
    <xf numFmtId="0" fontId="18" fillId="0" borderId="15" xfId="0" applyFont="1" applyBorder="1" applyAlignment="1">
      <alignment horizontal="center" vertical="center"/>
    </xf>
    <xf numFmtId="0" fontId="18" fillId="0" borderId="10" xfId="0" applyFont="1" applyBorder="1" applyAlignment="1">
      <alignment horizontal="center" vertical="center"/>
    </xf>
    <xf numFmtId="0" fontId="6" fillId="0" borderId="10" xfId="0" applyFont="1" applyBorder="1" applyAlignment="1">
      <alignment horizontal="left" vertical="center"/>
    </xf>
    <xf numFmtId="0" fontId="6" fillId="0" borderId="28" xfId="0" applyFont="1" applyBorder="1" applyAlignment="1">
      <alignment horizontal="left" vertical="center"/>
    </xf>
    <xf numFmtId="0" fontId="6" fillId="0" borderId="29" xfId="0" applyFont="1" applyBorder="1" applyAlignment="1">
      <alignment horizontal="left" vertical="center"/>
    </xf>
    <xf numFmtId="0" fontId="6" fillId="0" borderId="30" xfId="0" applyFont="1" applyBorder="1" applyAlignment="1">
      <alignment horizontal="left" vertical="center"/>
    </xf>
    <xf numFmtId="0" fontId="6" fillId="0" borderId="31" xfId="0" applyFont="1" applyBorder="1" applyAlignment="1">
      <alignment horizontal="left" vertical="center"/>
    </xf>
    <xf numFmtId="0" fontId="6" fillId="0" borderId="36" xfId="0" applyFont="1" applyBorder="1" applyAlignment="1">
      <alignment horizontal="left" vertical="center"/>
    </xf>
    <xf numFmtId="0" fontId="6" fillId="0" borderId="3" xfId="0" applyFont="1" applyBorder="1" applyAlignment="1">
      <alignment horizontal="left" vertical="center"/>
    </xf>
    <xf numFmtId="0" fontId="6" fillId="0" borderId="33" xfId="0" applyFont="1" applyBorder="1" applyAlignment="1">
      <alignment horizontal="left" vertical="center"/>
    </xf>
    <xf numFmtId="0" fontId="2" fillId="0" borderId="10" xfId="0" applyFont="1" applyBorder="1" applyAlignment="1">
      <alignment horizontal="left" vertical="center" wrapText="1"/>
    </xf>
    <xf numFmtId="0" fontId="2" fillId="0" borderId="10" xfId="0" applyFont="1" applyBorder="1" applyAlignment="1">
      <alignment horizontal="left" vertical="center"/>
    </xf>
    <xf numFmtId="0" fontId="6" fillId="0" borderId="28" xfId="0" applyFont="1" applyBorder="1" applyAlignment="1">
      <alignment horizontal="center" wrapText="1"/>
    </xf>
    <xf numFmtId="0" fontId="6" fillId="0" borderId="29" xfId="0" applyFont="1" applyBorder="1" applyAlignment="1">
      <alignment horizontal="center" wrapText="1"/>
    </xf>
    <xf numFmtId="0" fontId="6" fillId="0" borderId="30" xfId="0" applyFont="1" applyBorder="1" applyAlignment="1">
      <alignment horizontal="center" wrapText="1"/>
    </xf>
    <xf numFmtId="0" fontId="6" fillId="0" borderId="28" xfId="0" applyFont="1" applyBorder="1" applyAlignment="1">
      <alignment horizontal="center" vertical="center"/>
    </xf>
    <xf numFmtId="0" fontId="6" fillId="0" borderId="30" xfId="0" applyFont="1" applyBorder="1" applyAlignment="1">
      <alignment horizontal="center" vertical="center"/>
    </xf>
    <xf numFmtId="166" fontId="6" fillId="0" borderId="10" xfId="1" quotePrefix="1" applyNumberFormat="1" applyFont="1" applyBorder="1" applyAlignment="1">
      <alignment horizontal="center" vertical="center"/>
    </xf>
    <xf numFmtId="166" fontId="6" fillId="0" borderId="10" xfId="1" applyNumberFormat="1" applyFont="1" applyBorder="1" applyAlignment="1">
      <alignment horizontal="center" vertical="center"/>
    </xf>
    <xf numFmtId="0" fontId="6" fillId="0" borderId="32" xfId="0" applyFont="1" applyBorder="1" applyAlignment="1">
      <alignment horizontal="left" vertical="center"/>
    </xf>
    <xf numFmtId="0" fontId="6" fillId="0" borderId="34" xfId="0" applyFont="1" applyBorder="1" applyAlignment="1">
      <alignment horizontal="left" vertical="center"/>
    </xf>
    <xf numFmtId="1" fontId="6" fillId="0" borderId="28" xfId="0" applyNumberFormat="1" applyFont="1" applyBorder="1" applyAlignment="1">
      <alignment horizontal="left" vertical="center"/>
    </xf>
    <xf numFmtId="1" fontId="6" fillId="0" borderId="29" xfId="0" applyNumberFormat="1" applyFont="1" applyBorder="1" applyAlignment="1">
      <alignment horizontal="left" vertical="center"/>
    </xf>
    <xf numFmtId="1" fontId="6" fillId="0" borderId="30" xfId="0" applyNumberFormat="1" applyFont="1" applyBorder="1" applyAlignment="1">
      <alignment horizontal="left" vertical="center"/>
    </xf>
    <xf numFmtId="0" fontId="6" fillId="0" borderId="28" xfId="0" applyFont="1" applyBorder="1" applyAlignment="1">
      <alignment horizontal="center"/>
    </xf>
    <xf numFmtId="0" fontId="6" fillId="0" borderId="30" xfId="0" applyFont="1" applyBorder="1" applyAlignment="1">
      <alignment horizontal="center"/>
    </xf>
    <xf numFmtId="165" fontId="6" fillId="0" borderId="10" xfId="1" applyNumberFormat="1" applyFont="1" applyBorder="1" applyAlignment="1">
      <alignment horizontal="center"/>
    </xf>
    <xf numFmtId="165" fontId="6" fillId="0" borderId="37" xfId="1" applyNumberFormat="1" applyFont="1" applyBorder="1" applyAlignment="1">
      <alignment horizontal="center"/>
    </xf>
    <xf numFmtId="166" fontId="6" fillId="0" borderId="28" xfId="1" applyNumberFormat="1" applyFont="1" applyBorder="1" applyAlignment="1">
      <alignment horizontal="center"/>
    </xf>
    <xf numFmtId="166" fontId="6" fillId="0" borderId="34" xfId="1" applyNumberFormat="1" applyFont="1" applyBorder="1" applyAlignment="1">
      <alignment horizontal="center"/>
    </xf>
    <xf numFmtId="165" fontId="6" fillId="0" borderId="28" xfId="1" applyNumberFormat="1" applyFont="1" applyBorder="1" applyAlignment="1">
      <alignment horizontal="right"/>
    </xf>
    <xf numFmtId="165" fontId="6" fillId="0" borderId="34" xfId="1" applyNumberFormat="1" applyFont="1" applyBorder="1" applyAlignment="1">
      <alignment horizontal="right"/>
    </xf>
    <xf numFmtId="165" fontId="6" fillId="0" borderId="28" xfId="1" applyNumberFormat="1" applyFont="1" applyBorder="1" applyAlignment="1">
      <alignment horizontal="center"/>
    </xf>
    <xf numFmtId="165" fontId="6" fillId="0" borderId="34" xfId="1" applyNumberFormat="1" applyFont="1" applyBorder="1" applyAlignment="1">
      <alignment horizontal="center"/>
    </xf>
    <xf numFmtId="0" fontId="6" fillId="0" borderId="32" xfId="0" applyFont="1" applyBorder="1" applyAlignment="1">
      <alignment horizontal="center" vertical="center"/>
    </xf>
    <xf numFmtId="0" fontId="6" fillId="0" borderId="29" xfId="0" applyFont="1" applyBorder="1" applyAlignment="1">
      <alignment horizontal="center" vertical="center"/>
    </xf>
    <xf numFmtId="2" fontId="17" fillId="0" borderId="28" xfId="0" applyNumberFormat="1" applyFont="1" applyBorder="1" applyAlignment="1">
      <alignment horizontal="right"/>
    </xf>
    <xf numFmtId="2" fontId="17" fillId="0" borderId="34" xfId="0" applyNumberFormat="1" applyFont="1" applyBorder="1" applyAlignment="1">
      <alignment horizontal="right"/>
    </xf>
    <xf numFmtId="0" fontId="6" fillId="0" borderId="36" xfId="0" applyFont="1" applyBorder="1" applyAlignment="1">
      <alignment horizontal="center"/>
    </xf>
    <xf numFmtId="0" fontId="6" fillId="0" borderId="33" xfId="0" applyFont="1" applyBorder="1" applyAlignment="1">
      <alignment horizontal="center"/>
    </xf>
    <xf numFmtId="0" fontId="6" fillId="0" borderId="10" xfId="0" applyFont="1" applyBorder="1" applyAlignment="1">
      <alignment horizontal="center" vertical="center"/>
    </xf>
    <xf numFmtId="0" fontId="6" fillId="3" borderId="10" xfId="0" applyFont="1" applyFill="1" applyBorder="1" applyAlignment="1">
      <alignment horizontal="center" vertical="center"/>
    </xf>
    <xf numFmtId="0" fontId="12" fillId="0" borderId="10" xfId="0" applyFont="1" applyBorder="1" applyAlignment="1">
      <alignment horizontal="center" vertical="center"/>
    </xf>
    <xf numFmtId="0" fontId="11" fillId="0" borderId="10" xfId="0" applyFont="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27" xfId="0" applyFont="1" applyBorder="1" applyAlignment="1">
      <alignment horizontal="center" vertical="center"/>
    </xf>
    <xf numFmtId="0" fontId="12" fillId="0" borderId="31" xfId="0" applyFont="1" applyBorder="1" applyAlignment="1">
      <alignment horizontal="center" vertical="center"/>
    </xf>
    <xf numFmtId="0" fontId="11" fillId="0" borderId="31"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28" xfId="0" applyFont="1" applyBorder="1" applyAlignment="1">
      <alignment horizontal="center" vertical="center" wrapText="1"/>
    </xf>
    <xf numFmtId="0" fontId="6" fillId="0" borderId="24" xfId="0" applyFont="1" applyBorder="1" applyAlignment="1">
      <alignment horizontal="center" vertical="center"/>
    </xf>
    <xf numFmtId="0" fontId="6"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1" fontId="11" fillId="0" borderId="28" xfId="0" applyNumberFormat="1" applyFont="1" applyBorder="1" applyAlignment="1">
      <alignment horizontal="center" vertical="center" wrapText="1"/>
    </xf>
    <xf numFmtId="1" fontId="11" fillId="0" borderId="29" xfId="0" applyNumberFormat="1" applyFont="1" applyBorder="1" applyAlignment="1">
      <alignment horizontal="center" vertical="center" wrapText="1"/>
    </xf>
    <xf numFmtId="1" fontId="11" fillId="0" borderId="30"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15" fontId="9" fillId="0" borderId="17" xfId="0" applyNumberFormat="1" applyFont="1" applyBorder="1" applyAlignment="1">
      <alignment horizontal="center" vertical="center"/>
    </xf>
    <xf numFmtId="15" fontId="9" fillId="0" borderId="18" xfId="0" applyNumberFormat="1" applyFont="1" applyBorder="1" applyAlignment="1">
      <alignment horizontal="center" vertical="center"/>
    </xf>
    <xf numFmtId="0" fontId="9" fillId="0" borderId="5"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7" xfId="0" applyFont="1" applyBorder="1" applyAlignment="1">
      <alignment horizontal="left" vertical="center" wrapText="1"/>
    </xf>
    <xf numFmtId="0" fontId="9" fillId="0" borderId="18" xfId="0" applyFont="1" applyBorder="1" applyAlignment="1">
      <alignment horizontal="left" vertical="center" wrapText="1"/>
    </xf>
    <xf numFmtId="15" fontId="10" fillId="0" borderId="17" xfId="0" applyNumberFormat="1" applyFont="1" applyBorder="1" applyAlignment="1">
      <alignment horizontal="left" vertical="center" wrapText="1"/>
    </xf>
    <xf numFmtId="0" fontId="10" fillId="0" borderId="6" xfId="0" applyFont="1" applyBorder="1" applyAlignment="1">
      <alignment horizontal="left" vertical="center" wrapText="1"/>
    </xf>
    <xf numFmtId="0" fontId="10" fillId="0" borderId="18" xfId="0" applyFont="1" applyBorder="1" applyAlignment="1">
      <alignment horizontal="left" vertical="center" wrapText="1"/>
    </xf>
    <xf numFmtId="0" fontId="2" fillId="0" borderId="19" xfId="0" applyFont="1" applyBorder="1" applyAlignment="1">
      <alignment horizontal="center" vertical="top" wrapText="1"/>
    </xf>
    <xf numFmtId="0" fontId="2" fillId="0" borderId="20" xfId="0" applyFont="1" applyBorder="1" applyAlignment="1">
      <alignment horizontal="center" vertical="top" wrapText="1"/>
    </xf>
    <xf numFmtId="0" fontId="2" fillId="0" borderId="21" xfId="0" applyFont="1" applyBorder="1" applyAlignment="1">
      <alignment horizontal="center"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9</xdr:col>
      <xdr:colOff>151054</xdr:colOff>
      <xdr:row>3</xdr:row>
      <xdr:rowOff>145676</xdr:rowOff>
    </xdr:from>
    <xdr:to>
      <xdr:col>10</xdr:col>
      <xdr:colOff>773206</xdr:colOff>
      <xdr:row>8</xdr:row>
      <xdr:rowOff>11207</xdr:rowOff>
    </xdr:to>
    <xdr:pic>
      <xdr:nvPicPr>
        <xdr:cNvPr id="2" name="image1.jpeg">
          <a:extLst>
            <a:ext uri="{FF2B5EF4-FFF2-40B4-BE49-F238E27FC236}">
              <a16:creationId xmlns:a16="http://schemas.microsoft.com/office/drawing/2014/main" id="{2899E61C-0E47-4A40-8F78-CABD3B8D9331}"/>
            </a:ext>
          </a:extLst>
        </xdr:cNvPr>
        <xdr:cNvPicPr/>
      </xdr:nvPicPr>
      <xdr:blipFill>
        <a:blip xmlns:r="http://schemas.openxmlformats.org/officeDocument/2006/relationships" r:embed="rId1" cstate="print"/>
        <a:stretch>
          <a:fillRect/>
        </a:stretch>
      </xdr:blipFill>
      <xdr:spPr>
        <a:xfrm>
          <a:off x="14453794" y="1425836"/>
          <a:ext cx="2245212" cy="199913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D97CB-6CCF-43F4-B579-B054694AD670}">
  <dimension ref="A1:N81"/>
  <sheetViews>
    <sheetView tabSelected="1" view="pageBreakPreview" zoomScale="48" zoomScaleNormal="100" zoomScaleSheetLayoutView="10" workbookViewId="0">
      <selection activeCell="G66" sqref="G66:K72"/>
    </sheetView>
  </sheetViews>
  <sheetFormatPr defaultRowHeight="14.5" x14ac:dyDescent="0.35"/>
  <cols>
    <col min="1" max="1" width="23.6328125" style="47" bestFit="1" customWidth="1"/>
    <col min="2" max="2" width="18.81640625" bestFit="1" customWidth="1"/>
    <col min="3" max="3" width="13.453125" bestFit="1" customWidth="1"/>
    <col min="4" max="4" width="16.54296875" bestFit="1" customWidth="1"/>
    <col min="5" max="5" width="23.6328125" bestFit="1" customWidth="1"/>
    <col min="6" max="6" width="14.81640625" bestFit="1" customWidth="1"/>
    <col min="7" max="7" width="44.54296875" bestFit="1" customWidth="1"/>
    <col min="8" max="8" width="34.36328125" bestFit="1" customWidth="1"/>
    <col min="9" max="9" width="18.81640625" bestFit="1" customWidth="1"/>
    <col min="10" max="10" width="23.6328125" bestFit="1" customWidth="1"/>
    <col min="11" max="11" width="12.54296875" bestFit="1" customWidth="1"/>
    <col min="12" max="12" width="64.08984375" customWidth="1"/>
    <col min="13" max="13" width="60" customWidth="1"/>
    <col min="14" max="14" width="64.54296875" customWidth="1"/>
  </cols>
  <sheetData>
    <row r="1" spans="1:11" ht="33.65" customHeight="1" thickBot="1" x14ac:dyDescent="0.4">
      <c r="A1" s="160" t="s">
        <v>0</v>
      </c>
      <c r="B1" s="161"/>
      <c r="C1" s="161"/>
      <c r="D1" s="161"/>
      <c r="E1" s="162"/>
      <c r="F1" s="162"/>
      <c r="G1" s="162"/>
      <c r="H1" s="162"/>
      <c r="I1" s="162"/>
      <c r="J1" s="161"/>
      <c r="K1" s="163"/>
    </row>
    <row r="2" spans="1:11" ht="33.65" customHeight="1" thickBot="1" x14ac:dyDescent="0.4">
      <c r="A2" s="164" t="s">
        <v>1</v>
      </c>
      <c r="B2" s="165"/>
      <c r="C2" s="165"/>
      <c r="D2" s="165"/>
      <c r="E2" s="165"/>
      <c r="F2" s="165"/>
      <c r="G2" s="165"/>
      <c r="H2" s="165"/>
      <c r="I2" s="165"/>
      <c r="J2" s="165"/>
      <c r="K2" s="166"/>
    </row>
    <row r="3" spans="1:11" ht="33.65" customHeight="1" thickBot="1" x14ac:dyDescent="0.4">
      <c r="A3" s="167" t="s">
        <v>2</v>
      </c>
      <c r="B3" s="168"/>
      <c r="C3" s="168"/>
      <c r="D3" s="168"/>
      <c r="E3" s="168"/>
      <c r="F3" s="168"/>
      <c r="G3" s="168"/>
      <c r="H3" s="168"/>
      <c r="I3" s="168"/>
      <c r="J3" s="165"/>
      <c r="K3" s="166"/>
    </row>
    <row r="4" spans="1:11" ht="33.65" customHeight="1" x14ac:dyDescent="0.35">
      <c r="A4" s="169" t="s">
        <v>3</v>
      </c>
      <c r="B4" s="169"/>
      <c r="C4" s="169"/>
      <c r="D4" s="169"/>
      <c r="E4" s="169"/>
      <c r="F4" s="169"/>
      <c r="G4" s="169"/>
      <c r="H4" s="169"/>
      <c r="I4" s="169"/>
      <c r="J4" s="170"/>
      <c r="K4" s="171"/>
    </row>
    <row r="5" spans="1:11" ht="33.65" customHeight="1" thickBot="1" x14ac:dyDescent="0.4">
      <c r="A5" s="1"/>
      <c r="B5" s="2"/>
      <c r="C5" s="2"/>
      <c r="D5" s="2"/>
      <c r="E5" s="2"/>
      <c r="F5" s="2"/>
      <c r="G5" s="2"/>
      <c r="H5" s="2"/>
      <c r="I5" s="2"/>
      <c r="J5" s="172"/>
      <c r="K5" s="173"/>
    </row>
    <row r="6" spans="1:11" ht="33.65" customHeight="1" thickBot="1" x14ac:dyDescent="0.4">
      <c r="A6" s="3" t="s">
        <v>4</v>
      </c>
      <c r="B6" s="4" t="s">
        <v>5</v>
      </c>
      <c r="D6" s="5" t="s">
        <v>6</v>
      </c>
      <c r="E6" s="176">
        <v>46294</v>
      </c>
      <c r="F6" s="177"/>
      <c r="J6" s="172"/>
      <c r="K6" s="173"/>
    </row>
    <row r="7" spans="1:11" ht="33.65" customHeight="1" thickBot="1" x14ac:dyDescent="0.4">
      <c r="A7" s="6"/>
      <c r="B7" s="7" t="s">
        <v>7</v>
      </c>
      <c r="C7" s="7"/>
      <c r="D7" s="7"/>
      <c r="E7" s="7"/>
      <c r="F7" s="7"/>
      <c r="J7" s="172"/>
      <c r="K7" s="173"/>
    </row>
    <row r="8" spans="1:11" ht="33.65" customHeight="1" thickBot="1" x14ac:dyDescent="0.4">
      <c r="A8" s="178" t="s">
        <v>8</v>
      </c>
      <c r="B8" s="179"/>
      <c r="C8" s="7"/>
      <c r="D8" s="180" t="s">
        <v>9</v>
      </c>
      <c r="E8" s="181"/>
      <c r="F8" s="8" t="s">
        <v>10</v>
      </c>
      <c r="G8" s="182" t="s">
        <v>11</v>
      </c>
      <c r="H8" s="183"/>
      <c r="I8" s="184"/>
      <c r="J8" s="172"/>
      <c r="K8" s="173"/>
    </row>
    <row r="9" spans="1:11" ht="33.65" customHeight="1" thickBot="1" x14ac:dyDescent="0.4">
      <c r="A9" s="185"/>
      <c r="B9" s="186"/>
      <c r="C9" s="186"/>
      <c r="D9" s="186"/>
      <c r="E9" s="186"/>
      <c r="F9" s="186"/>
      <c r="G9" s="186"/>
      <c r="H9" s="186"/>
      <c r="I9" s="187"/>
      <c r="J9" s="174"/>
      <c r="K9" s="175"/>
    </row>
    <row r="10" spans="1:11" ht="41.4" customHeight="1" x14ac:dyDescent="0.35">
      <c r="A10" s="153" t="s">
        <v>12</v>
      </c>
      <c r="B10" s="153"/>
      <c r="C10" s="153"/>
      <c r="D10" s="153"/>
      <c r="E10" s="144" t="s">
        <v>13</v>
      </c>
      <c r="F10" s="145"/>
      <c r="G10" s="145"/>
      <c r="H10" s="145"/>
      <c r="I10" s="145"/>
      <c r="J10" s="145"/>
      <c r="K10" s="146"/>
    </row>
    <row r="11" spans="1:11" ht="41.4" customHeight="1" x14ac:dyDescent="0.35">
      <c r="A11" s="154" t="s">
        <v>14</v>
      </c>
      <c r="B11" s="155"/>
      <c r="C11" s="155"/>
      <c r="D11" s="156"/>
      <c r="E11" s="157">
        <v>9689892909</v>
      </c>
      <c r="F11" s="158"/>
      <c r="G11" s="158"/>
      <c r="H11" s="158"/>
      <c r="I11" s="158"/>
      <c r="J11" s="158"/>
      <c r="K11" s="159"/>
    </row>
    <row r="12" spans="1:11" ht="41.4" customHeight="1" x14ac:dyDescent="0.35">
      <c r="A12" s="115" t="s">
        <v>15</v>
      </c>
      <c r="B12" s="135"/>
      <c r="C12" s="135"/>
      <c r="D12" s="116"/>
      <c r="E12" s="157" t="s">
        <v>16</v>
      </c>
      <c r="F12" s="158"/>
      <c r="G12" s="158"/>
      <c r="H12" s="158"/>
      <c r="I12" s="158"/>
      <c r="J12" s="158"/>
      <c r="K12" s="159"/>
    </row>
    <row r="13" spans="1:11" ht="41.4" customHeight="1" x14ac:dyDescent="0.35">
      <c r="A13" s="115" t="s">
        <v>17</v>
      </c>
      <c r="B13" s="135"/>
      <c r="C13" s="135"/>
      <c r="D13" s="116"/>
      <c r="E13" s="149" t="s">
        <v>18</v>
      </c>
      <c r="F13" s="150"/>
      <c r="G13" s="150"/>
      <c r="H13" s="150"/>
      <c r="I13" s="150"/>
      <c r="J13" s="150"/>
      <c r="K13" s="151"/>
    </row>
    <row r="14" spans="1:11" ht="41.4" customHeight="1" x14ac:dyDescent="0.35">
      <c r="A14" s="140" t="s">
        <v>19</v>
      </c>
      <c r="B14" s="140"/>
      <c r="C14" s="140"/>
      <c r="D14" s="140"/>
      <c r="E14" s="152" t="s">
        <v>20</v>
      </c>
      <c r="F14" s="150"/>
      <c r="G14" s="150"/>
      <c r="H14" s="150"/>
      <c r="I14" s="150"/>
      <c r="J14" s="150"/>
      <c r="K14" s="151"/>
    </row>
    <row r="15" spans="1:11" ht="41.4" customHeight="1" x14ac:dyDescent="0.35">
      <c r="A15" s="140" t="s">
        <v>21</v>
      </c>
      <c r="B15" s="140"/>
      <c r="C15" s="140"/>
      <c r="D15" s="140"/>
      <c r="E15" s="143" t="s">
        <v>22</v>
      </c>
      <c r="F15" s="143"/>
      <c r="G15" s="143"/>
      <c r="H15" s="143"/>
      <c r="I15" s="143"/>
      <c r="J15" s="143"/>
      <c r="K15" s="143"/>
    </row>
    <row r="16" spans="1:11" ht="41.4" customHeight="1" thickBot="1" x14ac:dyDescent="0.4">
      <c r="A16" s="142" t="s">
        <v>23</v>
      </c>
      <c r="B16" s="142"/>
      <c r="C16" s="142"/>
      <c r="D16" s="142"/>
      <c r="E16" s="143" t="s">
        <v>24</v>
      </c>
      <c r="F16" s="143"/>
      <c r="G16" s="143"/>
      <c r="H16" s="143"/>
      <c r="I16" s="143"/>
      <c r="J16" s="143"/>
      <c r="K16" s="143"/>
    </row>
    <row r="17" spans="1:14" ht="41.4" customHeight="1" x14ac:dyDescent="0.35">
      <c r="A17" s="142" t="s">
        <v>25</v>
      </c>
      <c r="B17" s="142"/>
      <c r="C17" s="142"/>
      <c r="D17" s="142"/>
      <c r="E17" s="144" t="s">
        <v>13</v>
      </c>
      <c r="F17" s="145"/>
      <c r="G17" s="145"/>
      <c r="H17" s="145"/>
      <c r="I17" s="145"/>
      <c r="J17" s="145"/>
      <c r="K17" s="146"/>
    </row>
    <row r="18" spans="1:14" ht="41.4" customHeight="1" x14ac:dyDescent="0.35">
      <c r="A18" s="147" t="s">
        <v>26</v>
      </c>
      <c r="B18" s="147"/>
      <c r="C18" s="147"/>
      <c r="D18" s="147"/>
      <c r="E18" s="148" t="s">
        <v>27</v>
      </c>
      <c r="F18" s="148"/>
      <c r="G18" s="148"/>
      <c r="H18" s="148"/>
      <c r="I18" s="148"/>
      <c r="J18" s="148"/>
      <c r="K18" s="148"/>
    </row>
    <row r="19" spans="1:14" s="12" customFormat="1" ht="41.4" customHeight="1" x14ac:dyDescent="0.35">
      <c r="A19" s="9" t="s">
        <v>28</v>
      </c>
      <c r="B19" s="9" t="s">
        <v>29</v>
      </c>
      <c r="C19" s="9" t="s">
        <v>30</v>
      </c>
      <c r="D19" s="9" t="s">
        <v>31</v>
      </c>
      <c r="E19" s="9" t="s">
        <v>32</v>
      </c>
      <c r="F19" s="9" t="s">
        <v>33</v>
      </c>
      <c r="G19" s="9" t="s">
        <v>34</v>
      </c>
      <c r="H19" s="9" t="s">
        <v>35</v>
      </c>
      <c r="I19" s="9" t="s">
        <v>36</v>
      </c>
      <c r="J19" s="9" t="s">
        <v>37</v>
      </c>
      <c r="K19" s="10" t="s">
        <v>38</v>
      </c>
      <c r="L19" s="11"/>
      <c r="M19" s="11" t="s">
        <v>39</v>
      </c>
      <c r="N19" s="11" t="s">
        <v>32</v>
      </c>
    </row>
    <row r="20" spans="1:14" s="12" customFormat="1" ht="41.4" customHeight="1" x14ac:dyDescent="0.35">
      <c r="A20" s="9" t="s">
        <v>40</v>
      </c>
      <c r="B20" s="10" t="s">
        <v>41</v>
      </c>
      <c r="C20" s="9">
        <v>2608</v>
      </c>
      <c r="D20" s="9">
        <v>2300</v>
      </c>
      <c r="E20" s="13">
        <f>C20*D20/92903</f>
        <v>64.566268043012599</v>
      </c>
      <c r="F20" s="10">
        <v>1</v>
      </c>
      <c r="G20" s="9" t="s">
        <v>42</v>
      </c>
      <c r="H20" s="9" t="s">
        <v>43</v>
      </c>
      <c r="I20" s="9" t="s">
        <v>44</v>
      </c>
      <c r="J20" s="10" t="s">
        <v>45</v>
      </c>
      <c r="K20" s="10" t="s">
        <v>46</v>
      </c>
      <c r="L20" s="14"/>
      <c r="M20" s="14"/>
      <c r="N20" s="11"/>
    </row>
    <row r="21" spans="1:14" s="19" customFormat="1" ht="41.4" customHeight="1" x14ac:dyDescent="2">
      <c r="A21" s="9"/>
      <c r="B21" s="9"/>
      <c r="C21" s="9" t="s">
        <v>47</v>
      </c>
      <c r="D21" s="9"/>
      <c r="E21" s="15">
        <f>SUM(E20:E20)</f>
        <v>64.566268043012599</v>
      </c>
      <c r="F21" s="15">
        <f>SUM(F20:F20)</f>
        <v>1</v>
      </c>
      <c r="G21" s="9">
        <f>E21/F21</f>
        <v>64.566268043012599</v>
      </c>
      <c r="H21" s="9"/>
      <c r="I21" s="16"/>
      <c r="J21" s="10"/>
      <c r="K21" s="9"/>
      <c r="L21" s="17"/>
      <c r="M21" s="17"/>
      <c r="N21" s="18"/>
    </row>
    <row r="22" spans="1:14" s="20" customFormat="1" ht="41.4" customHeight="1" x14ac:dyDescent="0.55000000000000004">
      <c r="A22" s="9"/>
      <c r="B22" s="140" t="s">
        <v>48</v>
      </c>
      <c r="C22" s="140"/>
      <c r="D22" s="140"/>
      <c r="E22" s="140"/>
      <c r="F22" s="140"/>
      <c r="G22" s="140"/>
      <c r="H22" s="140"/>
      <c r="I22" s="140"/>
      <c r="J22" s="140"/>
      <c r="K22" s="140"/>
      <c r="N22" s="21"/>
    </row>
    <row r="23" spans="1:14" s="20" customFormat="1" ht="41.4" customHeight="1" x14ac:dyDescent="0.55000000000000004">
      <c r="A23" s="22"/>
      <c r="B23" s="140" t="s">
        <v>49</v>
      </c>
      <c r="C23" s="140"/>
      <c r="D23" s="140"/>
      <c r="E23" s="140"/>
      <c r="F23" s="140"/>
      <c r="G23" s="140"/>
      <c r="H23" s="140"/>
      <c r="I23" s="140"/>
      <c r="J23" s="140"/>
      <c r="K23" s="140"/>
      <c r="N23" s="21"/>
    </row>
    <row r="24" spans="1:14" s="24" customFormat="1" ht="41.4" customHeight="1" x14ac:dyDescent="0.35">
      <c r="A24" s="23" t="s">
        <v>50</v>
      </c>
      <c r="B24" s="141" t="s">
        <v>51</v>
      </c>
      <c r="C24" s="141"/>
      <c r="D24" s="141"/>
      <c r="E24" s="141"/>
      <c r="F24" s="141"/>
      <c r="G24" s="141"/>
      <c r="H24" s="141"/>
      <c r="I24" s="141"/>
      <c r="J24" s="141"/>
      <c r="K24" s="141"/>
    </row>
    <row r="25" spans="1:14" s="24" customFormat="1" ht="41.4" customHeight="1" x14ac:dyDescent="0.35">
      <c r="A25" s="23" t="s">
        <v>52</v>
      </c>
      <c r="B25" s="141" t="s">
        <v>53</v>
      </c>
      <c r="C25" s="141"/>
      <c r="D25" s="141"/>
      <c r="E25" s="141"/>
      <c r="F25" s="141"/>
      <c r="G25" s="141"/>
      <c r="H25" s="141"/>
      <c r="I25" s="141"/>
      <c r="J25" s="141"/>
      <c r="K25" s="141"/>
    </row>
    <row r="26" spans="1:14" s="24" customFormat="1" ht="41.4" customHeight="1" x14ac:dyDescent="0.35">
      <c r="A26" s="23" t="s">
        <v>54</v>
      </c>
      <c r="B26" s="141"/>
      <c r="C26" s="141"/>
      <c r="D26" s="141"/>
      <c r="E26" s="141"/>
      <c r="F26" s="141"/>
      <c r="G26" s="141"/>
      <c r="H26" s="141"/>
      <c r="I26" s="141"/>
      <c r="J26" s="141"/>
      <c r="K26" s="141"/>
    </row>
    <row r="27" spans="1:14" s="20" customFormat="1" ht="41.4" customHeight="1" x14ac:dyDescent="0.55000000000000004">
      <c r="A27" s="140" t="s">
        <v>55</v>
      </c>
      <c r="B27" s="140"/>
      <c r="C27" s="140"/>
      <c r="D27" s="140"/>
      <c r="E27" s="140"/>
      <c r="F27" s="140"/>
      <c r="G27" s="140"/>
      <c r="H27" s="140"/>
      <c r="I27" s="140"/>
      <c r="J27" s="140"/>
      <c r="K27" s="140"/>
    </row>
    <row r="28" spans="1:14" s="20" customFormat="1" ht="41.4" customHeight="1" x14ac:dyDescent="0.55000000000000004">
      <c r="A28" s="134"/>
      <c r="B28" s="135"/>
      <c r="C28" s="135"/>
      <c r="D28" s="116"/>
      <c r="E28" s="124" t="s">
        <v>56</v>
      </c>
      <c r="F28" s="125"/>
      <c r="G28" s="25" t="s">
        <v>57</v>
      </c>
      <c r="H28" s="26" t="s">
        <v>58</v>
      </c>
      <c r="I28" s="27"/>
      <c r="J28" s="136">
        <f>E21</f>
        <v>64.566268043012599</v>
      </c>
      <c r="K28" s="137"/>
    </row>
    <row r="29" spans="1:14" s="20" customFormat="1" ht="41.4" customHeight="1" x14ac:dyDescent="0.55000000000000004">
      <c r="A29" s="28"/>
      <c r="B29" s="29"/>
      <c r="C29" s="30"/>
      <c r="D29" s="31"/>
      <c r="E29" s="138" t="s">
        <v>58</v>
      </c>
      <c r="F29" s="139"/>
      <c r="G29" s="33"/>
      <c r="H29" s="34"/>
      <c r="I29" s="35"/>
      <c r="J29" s="132">
        <v>440</v>
      </c>
      <c r="K29" s="133"/>
    </row>
    <row r="30" spans="1:14" s="20" customFormat="1" ht="41.4" customHeight="1" x14ac:dyDescent="0.55000000000000004">
      <c r="A30" s="28"/>
      <c r="B30" s="29"/>
      <c r="C30" s="30"/>
      <c r="D30" s="31"/>
      <c r="E30" s="112" t="s">
        <v>59</v>
      </c>
      <c r="F30" s="114"/>
      <c r="G30" s="33"/>
      <c r="H30" s="34"/>
      <c r="I30" s="35"/>
      <c r="J30" s="132">
        <f>J29*J28</f>
        <v>28409.157938925542</v>
      </c>
      <c r="K30" s="133"/>
    </row>
    <row r="31" spans="1:14" s="20" customFormat="1" ht="41.4" customHeight="1" x14ac:dyDescent="0.55000000000000004">
      <c r="A31" s="28"/>
      <c r="B31" s="29"/>
      <c r="C31" s="30"/>
      <c r="D31" s="31"/>
      <c r="E31" s="112" t="s">
        <v>60</v>
      </c>
      <c r="F31" s="114"/>
      <c r="G31" s="33">
        <f>J28</f>
        <v>64.566268043012599</v>
      </c>
      <c r="H31" s="34">
        <v>30</v>
      </c>
      <c r="I31" s="35"/>
      <c r="J31" s="132">
        <f>G31*H31</f>
        <v>1936.9880412903781</v>
      </c>
      <c r="K31" s="133"/>
    </row>
    <row r="32" spans="1:14" s="20" customFormat="1" ht="41.4" customHeight="1" x14ac:dyDescent="0.55000000000000004">
      <c r="A32" s="28"/>
      <c r="B32" s="29"/>
      <c r="C32" s="30"/>
      <c r="D32" s="31"/>
      <c r="E32" s="112" t="s">
        <v>61</v>
      </c>
      <c r="F32" s="114"/>
      <c r="G32" s="33">
        <f>J28</f>
        <v>64.566268043012599</v>
      </c>
      <c r="H32" s="34">
        <v>100</v>
      </c>
      <c r="I32" s="35"/>
      <c r="J32" s="132">
        <f>H32*G32</f>
        <v>6456.6268043012597</v>
      </c>
      <c r="K32" s="133"/>
    </row>
    <row r="33" spans="1:11" s="20" customFormat="1" ht="41.4" customHeight="1" x14ac:dyDescent="0.55000000000000004">
      <c r="A33" s="28"/>
      <c r="B33" s="29"/>
      <c r="C33" s="30"/>
      <c r="D33" s="31"/>
      <c r="E33" s="112" t="s">
        <v>62</v>
      </c>
      <c r="F33" s="114"/>
      <c r="G33" s="33"/>
      <c r="H33" s="34"/>
      <c r="I33" s="35"/>
      <c r="J33" s="132">
        <v>300</v>
      </c>
      <c r="K33" s="133"/>
    </row>
    <row r="34" spans="1:11" s="20" customFormat="1" ht="41.4" customHeight="1" x14ac:dyDescent="0.55000000000000004">
      <c r="A34" s="28"/>
      <c r="B34" s="29"/>
      <c r="C34" s="30"/>
      <c r="D34" s="31"/>
      <c r="E34" s="124" t="s">
        <v>63</v>
      </c>
      <c r="F34" s="125"/>
      <c r="G34" s="33"/>
      <c r="H34" s="34"/>
      <c r="I34" s="35"/>
      <c r="J34" s="132">
        <f>J30+J31+J32+J33</f>
        <v>37102.772784517176</v>
      </c>
      <c r="K34" s="133"/>
    </row>
    <row r="35" spans="1:11" s="20" customFormat="1" ht="41.4" customHeight="1" x14ac:dyDescent="0.55000000000000004">
      <c r="A35" s="28"/>
      <c r="B35" s="29"/>
      <c r="C35" s="30"/>
      <c r="D35" s="36"/>
      <c r="E35" s="124" t="s">
        <v>64</v>
      </c>
      <c r="F35" s="125"/>
      <c r="G35" s="25"/>
      <c r="H35" s="34"/>
      <c r="I35" s="35"/>
      <c r="J35" s="132">
        <f>J34*9%</f>
        <v>3339.2495506065457</v>
      </c>
      <c r="K35" s="133"/>
    </row>
    <row r="36" spans="1:11" s="20" customFormat="1" ht="41.4" customHeight="1" x14ac:dyDescent="0.55000000000000004">
      <c r="A36" s="28"/>
      <c r="B36" s="29"/>
      <c r="C36" s="30"/>
      <c r="D36" s="37"/>
      <c r="E36" s="112" t="s">
        <v>65</v>
      </c>
      <c r="F36" s="114"/>
      <c r="G36" s="32"/>
      <c r="H36" s="34"/>
      <c r="I36" s="35"/>
      <c r="J36" s="132">
        <f>J34*9%</f>
        <v>3339.2495506065457</v>
      </c>
      <c r="K36" s="133"/>
    </row>
    <row r="37" spans="1:11" s="20" customFormat="1" ht="41.4" customHeight="1" x14ac:dyDescent="0.55000000000000004">
      <c r="A37" s="28"/>
      <c r="B37" s="29"/>
      <c r="C37" s="30"/>
      <c r="D37" s="37"/>
      <c r="E37" s="124" t="s">
        <v>63</v>
      </c>
      <c r="F37" s="125"/>
      <c r="G37" s="32"/>
      <c r="H37" s="34"/>
      <c r="I37" s="35"/>
      <c r="J37" s="126">
        <f>J34+J35+J36</f>
        <v>43781.271885730268</v>
      </c>
      <c r="K37" s="127"/>
    </row>
    <row r="38" spans="1:11" s="20" customFormat="1" ht="41.4" customHeight="1" x14ac:dyDescent="0.55000000000000004">
      <c r="A38" s="28"/>
      <c r="B38" s="29"/>
      <c r="C38" s="30"/>
      <c r="D38" s="31"/>
      <c r="E38" s="124"/>
      <c r="F38" s="125"/>
      <c r="G38" s="34"/>
      <c r="H38" s="34"/>
      <c r="I38" s="35"/>
      <c r="J38" s="128"/>
      <c r="K38" s="129"/>
    </row>
    <row r="39" spans="1:11" s="20" customFormat="1" ht="41.4" customHeight="1" x14ac:dyDescent="0.55000000000000004">
      <c r="A39" s="38"/>
      <c r="B39" s="39"/>
      <c r="C39" s="39"/>
      <c r="D39" s="39"/>
      <c r="E39" s="124"/>
      <c r="F39" s="125"/>
      <c r="G39" s="39"/>
      <c r="H39" s="39"/>
      <c r="I39" s="40"/>
      <c r="J39" s="130"/>
      <c r="K39" s="131"/>
    </row>
    <row r="40" spans="1:11" s="20" customFormat="1" ht="41.4" customHeight="1" x14ac:dyDescent="0.55000000000000004">
      <c r="A40" s="38"/>
      <c r="B40" s="39"/>
      <c r="C40" s="39"/>
      <c r="D40" s="39"/>
      <c r="E40" s="112"/>
      <c r="F40" s="113"/>
      <c r="G40" s="114"/>
      <c r="H40" s="115" t="s">
        <v>66</v>
      </c>
      <c r="I40" s="116"/>
      <c r="J40" s="117">
        <f>J37+J38</f>
        <v>43781.271885730268</v>
      </c>
      <c r="K40" s="118"/>
    </row>
    <row r="41" spans="1:11" s="20" customFormat="1" ht="41.4" customHeight="1" x14ac:dyDescent="0.55000000000000004">
      <c r="A41" s="119" t="s">
        <v>67</v>
      </c>
      <c r="B41" s="105"/>
      <c r="C41" s="103" t="s">
        <v>68</v>
      </c>
      <c r="D41" s="104"/>
      <c r="E41" s="104"/>
      <c r="F41" s="104"/>
      <c r="G41" s="104"/>
      <c r="H41" s="104"/>
      <c r="I41" s="104"/>
      <c r="J41" s="104"/>
      <c r="K41" s="120"/>
    </row>
    <row r="42" spans="1:11" s="20" customFormat="1" ht="41.4" customHeight="1" x14ac:dyDescent="0.55000000000000004">
      <c r="A42" s="102" t="s">
        <v>69</v>
      </c>
      <c r="B42" s="102"/>
      <c r="C42" s="121">
        <v>1461625923</v>
      </c>
      <c r="D42" s="122"/>
      <c r="E42" s="122"/>
      <c r="F42" s="122"/>
      <c r="G42" s="122"/>
      <c r="H42" s="122"/>
      <c r="I42" s="122"/>
      <c r="J42" s="122"/>
      <c r="K42" s="123"/>
    </row>
    <row r="43" spans="1:11" s="20" customFormat="1" ht="41.4" customHeight="1" x14ac:dyDescent="0.55000000000000004">
      <c r="A43" s="102" t="s">
        <v>70</v>
      </c>
      <c r="B43" s="102"/>
      <c r="C43" s="103" t="s">
        <v>71</v>
      </c>
      <c r="D43" s="104"/>
      <c r="E43" s="104"/>
      <c r="F43" s="104"/>
      <c r="G43" s="104"/>
      <c r="H43" s="104"/>
      <c r="I43" s="104"/>
      <c r="J43" s="104"/>
      <c r="K43" s="105"/>
    </row>
    <row r="44" spans="1:11" s="20" customFormat="1" ht="41.4" customHeight="1" x14ac:dyDescent="0.55000000000000004">
      <c r="A44" s="106" t="s">
        <v>72</v>
      </c>
      <c r="B44" s="106"/>
      <c r="C44" s="107" t="s">
        <v>73</v>
      </c>
      <c r="D44" s="108"/>
      <c r="E44" s="108"/>
      <c r="F44" s="108"/>
      <c r="G44" s="108"/>
      <c r="H44" s="108"/>
      <c r="I44" s="108"/>
      <c r="J44" s="108"/>
      <c r="K44" s="109"/>
    </row>
    <row r="45" spans="1:11" x14ac:dyDescent="0.35">
      <c r="A45" s="110" t="s">
        <v>74</v>
      </c>
      <c r="B45" s="111"/>
      <c r="C45" s="111"/>
      <c r="D45" s="111"/>
      <c r="E45" s="111"/>
      <c r="F45" s="111"/>
      <c r="G45" s="110" t="s">
        <v>75</v>
      </c>
      <c r="H45" s="111"/>
      <c r="I45" s="111"/>
      <c r="J45" s="111"/>
      <c r="K45" s="111"/>
    </row>
    <row r="46" spans="1:11" x14ac:dyDescent="0.35">
      <c r="A46" s="111"/>
      <c r="B46" s="111"/>
      <c r="C46" s="111"/>
      <c r="D46" s="111"/>
      <c r="E46" s="111"/>
      <c r="F46" s="111"/>
      <c r="G46" s="111"/>
      <c r="H46" s="111"/>
      <c r="I46" s="111"/>
      <c r="J46" s="111"/>
      <c r="K46" s="111"/>
    </row>
    <row r="47" spans="1:11" x14ac:dyDescent="0.35">
      <c r="A47" s="111"/>
      <c r="B47" s="111"/>
      <c r="C47" s="111"/>
      <c r="D47" s="111"/>
      <c r="E47" s="111"/>
      <c r="F47" s="111"/>
      <c r="G47" s="111"/>
      <c r="H47" s="111"/>
      <c r="I47" s="111"/>
      <c r="J47" s="111"/>
      <c r="K47" s="111"/>
    </row>
    <row r="48" spans="1:11" ht="26" x14ac:dyDescent="0.35">
      <c r="A48" s="101" t="s">
        <v>76</v>
      </c>
      <c r="B48" s="101"/>
      <c r="C48" s="101"/>
      <c r="D48" s="101"/>
      <c r="E48" s="101"/>
      <c r="F48" s="101"/>
      <c r="G48" s="101"/>
      <c r="H48" s="101"/>
      <c r="I48" s="101"/>
      <c r="J48" s="101"/>
      <c r="K48" s="101"/>
    </row>
    <row r="49" spans="1:11" s="42" customFormat="1" ht="47.4" customHeight="1" x14ac:dyDescent="0.5">
      <c r="A49" s="41">
        <v>1</v>
      </c>
      <c r="B49" s="93" t="s">
        <v>77</v>
      </c>
      <c r="C49" s="93"/>
      <c r="D49" s="93"/>
      <c r="E49" s="93"/>
      <c r="F49" s="93"/>
      <c r="G49" s="93"/>
      <c r="H49" s="93"/>
      <c r="I49" s="93"/>
      <c r="J49" s="93"/>
      <c r="K49" s="94"/>
    </row>
    <row r="50" spans="1:11" s="43" customFormat="1" ht="47.4" customHeight="1" x14ac:dyDescent="0.5">
      <c r="A50" s="41">
        <v>2</v>
      </c>
      <c r="B50" s="88" t="s">
        <v>78</v>
      </c>
      <c r="C50" s="89"/>
      <c r="D50" s="89"/>
      <c r="E50" s="89"/>
      <c r="F50" s="89"/>
      <c r="G50" s="89"/>
      <c r="H50" s="89"/>
      <c r="I50" s="89"/>
      <c r="J50" s="89"/>
      <c r="K50" s="90"/>
    </row>
    <row r="51" spans="1:11" s="42" customFormat="1" ht="47.4" customHeight="1" x14ac:dyDescent="0.5">
      <c r="A51" s="41">
        <v>3</v>
      </c>
      <c r="B51" s="88" t="s">
        <v>79</v>
      </c>
      <c r="C51" s="89"/>
      <c r="D51" s="89"/>
      <c r="E51" s="89"/>
      <c r="F51" s="89"/>
      <c r="G51" s="89"/>
      <c r="H51" s="89"/>
      <c r="I51" s="89"/>
      <c r="J51" s="89"/>
      <c r="K51" s="90"/>
    </row>
    <row r="52" spans="1:11" s="42" customFormat="1" ht="47.4" customHeight="1" x14ac:dyDescent="0.5">
      <c r="A52" s="41">
        <v>4</v>
      </c>
      <c r="B52" s="88" t="s">
        <v>80</v>
      </c>
      <c r="C52" s="89"/>
      <c r="D52" s="89"/>
      <c r="E52" s="89"/>
      <c r="F52" s="89"/>
      <c r="G52" s="89"/>
      <c r="H52" s="89"/>
      <c r="I52" s="89"/>
      <c r="J52" s="89"/>
      <c r="K52" s="90"/>
    </row>
    <row r="53" spans="1:11" s="42" customFormat="1" ht="47.4" customHeight="1" x14ac:dyDescent="0.5">
      <c r="A53" s="41">
        <v>5</v>
      </c>
      <c r="B53" s="88" t="s">
        <v>81</v>
      </c>
      <c r="C53" s="89"/>
      <c r="D53" s="89"/>
      <c r="E53" s="89"/>
      <c r="F53" s="89"/>
      <c r="G53" s="89"/>
      <c r="H53" s="89"/>
      <c r="I53" s="89"/>
      <c r="J53" s="89"/>
      <c r="K53" s="90"/>
    </row>
    <row r="54" spans="1:11" s="42" customFormat="1" ht="47.4" customHeight="1" x14ac:dyDescent="0.5">
      <c r="A54" s="41">
        <v>6</v>
      </c>
      <c r="B54" s="88" t="s">
        <v>82</v>
      </c>
      <c r="C54" s="89"/>
      <c r="D54" s="89"/>
      <c r="E54" s="89"/>
      <c r="F54" s="89"/>
      <c r="G54" s="89"/>
      <c r="H54" s="89"/>
      <c r="I54" s="89"/>
      <c r="J54" s="89"/>
      <c r="K54" s="90"/>
    </row>
    <row r="55" spans="1:11" s="42" customFormat="1" ht="47.4" customHeight="1" x14ac:dyDescent="0.5">
      <c r="A55" s="41">
        <v>7</v>
      </c>
      <c r="B55" s="91" t="s">
        <v>83</v>
      </c>
      <c r="C55" s="91"/>
      <c r="D55" s="91"/>
      <c r="E55" s="91"/>
      <c r="F55" s="91"/>
      <c r="G55" s="91"/>
      <c r="H55" s="91"/>
      <c r="I55" s="91"/>
      <c r="J55" s="91"/>
      <c r="K55" s="92"/>
    </row>
    <row r="56" spans="1:11" s="42" customFormat="1" ht="47.4" customHeight="1" x14ac:dyDescent="0.5">
      <c r="A56" s="41">
        <v>8</v>
      </c>
      <c r="B56" s="93" t="s">
        <v>84</v>
      </c>
      <c r="C56" s="93"/>
      <c r="D56" s="93"/>
      <c r="E56" s="93"/>
      <c r="F56" s="93"/>
      <c r="G56" s="93"/>
      <c r="H56" s="93"/>
      <c r="I56" s="93"/>
      <c r="J56" s="93"/>
      <c r="K56" s="94"/>
    </row>
    <row r="57" spans="1:11" s="42" customFormat="1" ht="47.4" customHeight="1" x14ac:dyDescent="0.5">
      <c r="A57" s="41">
        <v>9</v>
      </c>
      <c r="B57" s="95" t="s">
        <v>85</v>
      </c>
      <c r="C57" s="96"/>
      <c r="D57" s="96"/>
      <c r="E57" s="96"/>
      <c r="F57" s="96"/>
      <c r="G57" s="96"/>
      <c r="H57" s="96"/>
      <c r="I57" s="96"/>
      <c r="J57" s="96"/>
      <c r="K57" s="97"/>
    </row>
    <row r="58" spans="1:11" s="42" customFormat="1" ht="47.4" customHeight="1" thickBot="1" x14ac:dyDescent="0.55000000000000004">
      <c r="A58" s="41">
        <v>10</v>
      </c>
      <c r="B58" s="93" t="s">
        <v>86</v>
      </c>
      <c r="C58" s="93"/>
      <c r="D58" s="93"/>
      <c r="E58" s="93"/>
      <c r="F58" s="93"/>
      <c r="G58" s="93"/>
      <c r="H58" s="93"/>
      <c r="I58" s="93"/>
      <c r="J58" s="93"/>
      <c r="K58" s="94"/>
    </row>
    <row r="59" spans="1:11" s="44" customFormat="1" ht="42" customHeight="1" thickBot="1" x14ac:dyDescent="0.4">
      <c r="A59" s="98" t="s">
        <v>87</v>
      </c>
      <c r="B59" s="99"/>
      <c r="C59" s="99"/>
      <c r="D59" s="99"/>
      <c r="E59" s="99"/>
      <c r="F59" s="99"/>
      <c r="G59" s="99"/>
      <c r="H59" s="99"/>
      <c r="I59" s="99"/>
      <c r="J59" s="99"/>
      <c r="K59" s="100"/>
    </row>
    <row r="60" spans="1:11" s="45" customFormat="1" ht="42" customHeight="1" thickBot="1" x14ac:dyDescent="0.4">
      <c r="A60" s="77" t="s">
        <v>88</v>
      </c>
      <c r="B60" s="77"/>
      <c r="C60" s="77"/>
      <c r="D60" s="77"/>
      <c r="E60" s="77"/>
      <c r="F60" s="77"/>
      <c r="G60" s="77"/>
      <c r="H60" s="77"/>
      <c r="I60" s="77"/>
      <c r="J60" s="78">
        <f>J40*100%</f>
        <v>43781.271885730268</v>
      </c>
      <c r="K60" s="78"/>
    </row>
    <row r="61" spans="1:11" s="46" customFormat="1" ht="32.4" customHeight="1" thickBot="1" x14ac:dyDescent="0.5">
      <c r="A61" s="79" t="s">
        <v>89</v>
      </c>
      <c r="B61" s="80"/>
      <c r="C61" s="80"/>
      <c r="D61" s="80"/>
      <c r="E61" s="80"/>
      <c r="F61" s="80"/>
      <c r="G61" s="80"/>
      <c r="H61" s="80"/>
      <c r="I61" s="80"/>
      <c r="J61" s="80"/>
      <c r="K61" s="81"/>
    </row>
    <row r="62" spans="1:11" s="46" customFormat="1" ht="79.25" customHeight="1" thickBot="1" x14ac:dyDescent="0.5">
      <c r="A62" s="82" t="s">
        <v>90</v>
      </c>
      <c r="B62" s="83"/>
      <c r="C62" s="83"/>
      <c r="D62" s="83"/>
      <c r="E62" s="83"/>
      <c r="F62" s="83"/>
      <c r="G62" s="83"/>
      <c r="H62" s="83"/>
      <c r="I62" s="83"/>
      <c r="J62" s="83"/>
      <c r="K62" s="84"/>
    </row>
    <row r="63" spans="1:11" s="46" customFormat="1" ht="46.75" customHeight="1" thickBot="1" x14ac:dyDescent="0.5">
      <c r="A63" s="85" t="s">
        <v>91</v>
      </c>
      <c r="B63" s="86"/>
      <c r="C63" s="86"/>
      <c r="D63" s="86"/>
      <c r="E63" s="86"/>
      <c r="F63" s="86"/>
      <c r="G63" s="86"/>
      <c r="H63" s="86"/>
      <c r="I63" s="86"/>
      <c r="J63" s="86"/>
      <c r="K63" s="87"/>
    </row>
    <row r="64" spans="1:11" s="46" customFormat="1" ht="79.25" customHeight="1" thickBot="1" x14ac:dyDescent="0.5">
      <c r="A64" s="82" t="s">
        <v>92</v>
      </c>
      <c r="B64" s="83"/>
      <c r="C64" s="83"/>
      <c r="D64" s="83"/>
      <c r="E64" s="83"/>
      <c r="F64" s="83"/>
      <c r="G64" s="83"/>
      <c r="H64" s="83"/>
      <c r="I64" s="83"/>
      <c r="J64" s="83"/>
      <c r="K64" s="84"/>
    </row>
    <row r="65" spans="1:11" s="46" customFormat="1" ht="19" thickBot="1" x14ac:dyDescent="0.5">
      <c r="A65" s="48"/>
      <c r="B65" s="49"/>
      <c r="C65" s="49"/>
      <c r="D65" s="49"/>
      <c r="E65" s="49"/>
      <c r="F65" s="49"/>
      <c r="G65" s="49"/>
      <c r="H65" s="49"/>
      <c r="I65" s="49"/>
      <c r="J65" s="49"/>
      <c r="K65" s="50"/>
    </row>
    <row r="66" spans="1:11" s="46" customFormat="1" ht="18.5" x14ac:dyDescent="0.45">
      <c r="A66" s="51" t="s">
        <v>74</v>
      </c>
      <c r="B66" s="52"/>
      <c r="C66" s="52"/>
      <c r="D66" s="52"/>
      <c r="E66" s="52"/>
      <c r="F66" s="53"/>
      <c r="G66" s="60" t="s">
        <v>75</v>
      </c>
      <c r="H66" s="61"/>
      <c r="I66" s="61"/>
      <c r="J66" s="61"/>
      <c r="K66" s="62"/>
    </row>
    <row r="67" spans="1:11" s="46" customFormat="1" ht="18.5" x14ac:dyDescent="0.45">
      <c r="A67" s="54"/>
      <c r="B67" s="55"/>
      <c r="C67" s="55"/>
      <c r="D67" s="55"/>
      <c r="E67" s="55"/>
      <c r="F67" s="56"/>
      <c r="G67" s="63"/>
      <c r="H67" s="63"/>
      <c r="I67" s="63"/>
      <c r="J67" s="63"/>
      <c r="K67" s="64"/>
    </row>
    <row r="68" spans="1:11" s="46" customFormat="1" ht="18.5" x14ac:dyDescent="0.45">
      <c r="A68" s="54"/>
      <c r="B68" s="55"/>
      <c r="C68" s="55"/>
      <c r="D68" s="55"/>
      <c r="E68" s="55"/>
      <c r="F68" s="56"/>
      <c r="G68" s="63"/>
      <c r="H68" s="63"/>
      <c r="I68" s="63"/>
      <c r="J68" s="63"/>
      <c r="K68" s="64"/>
    </row>
    <row r="69" spans="1:11" s="46" customFormat="1" ht="18.5" x14ac:dyDescent="0.45">
      <c r="A69" s="54"/>
      <c r="B69" s="55"/>
      <c r="C69" s="55"/>
      <c r="D69" s="55"/>
      <c r="E69" s="55"/>
      <c r="F69" s="56"/>
      <c r="G69" s="63"/>
      <c r="H69" s="63"/>
      <c r="I69" s="63"/>
      <c r="J69" s="63"/>
      <c r="K69" s="64"/>
    </row>
    <row r="70" spans="1:11" s="46" customFormat="1" ht="18.5" x14ac:dyDescent="0.45">
      <c r="A70" s="54"/>
      <c r="B70" s="55"/>
      <c r="C70" s="55"/>
      <c r="D70" s="55"/>
      <c r="E70" s="55"/>
      <c r="F70" s="56"/>
      <c r="G70" s="63"/>
      <c r="H70" s="63"/>
      <c r="I70" s="63"/>
      <c r="J70" s="63"/>
      <c r="K70" s="64"/>
    </row>
    <row r="71" spans="1:11" s="46" customFormat="1" ht="18.5" x14ac:dyDescent="0.45">
      <c r="A71" s="54"/>
      <c r="B71" s="55"/>
      <c r="C71" s="55"/>
      <c r="D71" s="55"/>
      <c r="E71" s="55"/>
      <c r="F71" s="56"/>
      <c r="G71" s="63"/>
      <c r="H71" s="63"/>
      <c r="I71" s="63"/>
      <c r="J71" s="63"/>
      <c r="K71" s="64"/>
    </row>
    <row r="72" spans="1:11" s="46" customFormat="1" ht="19" thickBot="1" x14ac:dyDescent="0.5">
      <c r="A72" s="57"/>
      <c r="B72" s="58"/>
      <c r="C72" s="58"/>
      <c r="D72" s="58"/>
      <c r="E72" s="58"/>
      <c r="F72" s="59"/>
      <c r="G72" s="65"/>
      <c r="H72" s="65"/>
      <c r="I72" s="65"/>
      <c r="J72" s="65"/>
      <c r="K72" s="66"/>
    </row>
    <row r="73" spans="1:11" s="67" customFormat="1" ht="19" thickBot="1" x14ac:dyDescent="0.5"/>
    <row r="74" spans="1:11" s="46" customFormat="1" ht="14.4" customHeight="1" x14ac:dyDescent="0.45">
      <c r="A74" s="68" t="s">
        <v>93</v>
      </c>
      <c r="B74" s="69"/>
      <c r="C74" s="69"/>
      <c r="D74" s="69"/>
      <c r="E74" s="69"/>
      <c r="F74" s="69"/>
      <c r="G74" s="69" t="s">
        <v>94</v>
      </c>
      <c r="H74" s="69"/>
      <c r="I74" s="69"/>
      <c r="J74" s="69"/>
      <c r="K74" s="74"/>
    </row>
    <row r="75" spans="1:11" s="46" customFormat="1" ht="18.5" x14ac:dyDescent="0.45">
      <c r="A75" s="70"/>
      <c r="B75" s="71"/>
      <c r="C75" s="71"/>
      <c r="D75" s="71"/>
      <c r="E75" s="71"/>
      <c r="F75" s="71"/>
      <c r="G75" s="71"/>
      <c r="H75" s="71"/>
      <c r="I75" s="71"/>
      <c r="J75" s="71"/>
      <c r="K75" s="75"/>
    </row>
    <row r="76" spans="1:11" s="46" customFormat="1" ht="18.5" x14ac:dyDescent="0.45">
      <c r="A76" s="70"/>
      <c r="B76" s="71"/>
      <c r="C76" s="71"/>
      <c r="D76" s="71"/>
      <c r="E76" s="71"/>
      <c r="F76" s="71"/>
      <c r="G76" s="71"/>
      <c r="H76" s="71"/>
      <c r="I76" s="71"/>
      <c r="J76" s="71"/>
      <c r="K76" s="75"/>
    </row>
    <row r="77" spans="1:11" s="46" customFormat="1" ht="18.5" x14ac:dyDescent="0.45">
      <c r="A77" s="70"/>
      <c r="B77" s="71"/>
      <c r="C77" s="71"/>
      <c r="D77" s="71"/>
      <c r="E77" s="71"/>
      <c r="F77" s="71"/>
      <c r="G77" s="71"/>
      <c r="H77" s="71"/>
      <c r="I77" s="71"/>
      <c r="J77" s="71"/>
      <c r="K77" s="75"/>
    </row>
    <row r="78" spans="1:11" s="46" customFormat="1" ht="18.5" x14ac:dyDescent="0.45">
      <c r="A78" s="70"/>
      <c r="B78" s="71"/>
      <c r="C78" s="71"/>
      <c r="D78" s="71"/>
      <c r="E78" s="71"/>
      <c r="F78" s="71"/>
      <c r="G78" s="71"/>
      <c r="H78" s="71"/>
      <c r="I78" s="71"/>
      <c r="J78" s="71"/>
      <c r="K78" s="75"/>
    </row>
    <row r="79" spans="1:11" s="46" customFormat="1" ht="18.5" x14ac:dyDescent="0.45">
      <c r="A79" s="70"/>
      <c r="B79" s="71"/>
      <c r="C79" s="71"/>
      <c r="D79" s="71"/>
      <c r="E79" s="71"/>
      <c r="F79" s="71"/>
      <c r="G79" s="71"/>
      <c r="H79" s="71"/>
      <c r="I79" s="71"/>
      <c r="J79" s="71"/>
      <c r="K79" s="75"/>
    </row>
    <row r="80" spans="1:11" s="46" customFormat="1" ht="18.5" x14ac:dyDescent="0.45">
      <c r="A80" s="70"/>
      <c r="B80" s="71"/>
      <c r="C80" s="71"/>
      <c r="D80" s="71"/>
      <c r="E80" s="71"/>
      <c r="F80" s="71"/>
      <c r="G80" s="71"/>
      <c r="H80" s="71"/>
      <c r="I80" s="71"/>
      <c r="J80" s="71"/>
      <c r="K80" s="75"/>
    </row>
    <row r="81" spans="1:11" s="46" customFormat="1" ht="19" thickBot="1" x14ac:dyDescent="0.5">
      <c r="A81" s="72"/>
      <c r="B81" s="73"/>
      <c r="C81" s="73"/>
      <c r="D81" s="73"/>
      <c r="E81" s="73"/>
      <c r="F81" s="73"/>
      <c r="G81" s="73"/>
      <c r="H81" s="73"/>
      <c r="I81" s="73"/>
      <c r="J81" s="73"/>
      <c r="K81" s="76"/>
    </row>
  </sheetData>
  <mergeCells count="96">
    <mergeCell ref="A1:K1"/>
    <mergeCell ref="A2:K2"/>
    <mergeCell ref="A3:K3"/>
    <mergeCell ref="A4:I4"/>
    <mergeCell ref="J4:K9"/>
    <mergeCell ref="E6:F6"/>
    <mergeCell ref="A8:B8"/>
    <mergeCell ref="D8:E8"/>
    <mergeCell ref="G8:I8"/>
    <mergeCell ref="A9:I9"/>
    <mergeCell ref="A10:D10"/>
    <mergeCell ref="E10:K10"/>
    <mergeCell ref="A11:D11"/>
    <mergeCell ref="E11:K11"/>
    <mergeCell ref="A12:D12"/>
    <mergeCell ref="E12:K12"/>
    <mergeCell ref="A13:D13"/>
    <mergeCell ref="E13:K13"/>
    <mergeCell ref="A14:D14"/>
    <mergeCell ref="E14:K14"/>
    <mergeCell ref="A15:D15"/>
    <mergeCell ref="E15:K15"/>
    <mergeCell ref="A16:D16"/>
    <mergeCell ref="E16:K16"/>
    <mergeCell ref="A17:D17"/>
    <mergeCell ref="E17:K17"/>
    <mergeCell ref="A18:D18"/>
    <mergeCell ref="E18:K18"/>
    <mergeCell ref="E30:F30"/>
    <mergeCell ref="J30:K30"/>
    <mergeCell ref="B22:K22"/>
    <mergeCell ref="B23:K23"/>
    <mergeCell ref="B24:K24"/>
    <mergeCell ref="B25:K25"/>
    <mergeCell ref="B26:K26"/>
    <mergeCell ref="A27:K27"/>
    <mergeCell ref="A28:D28"/>
    <mergeCell ref="E28:F28"/>
    <mergeCell ref="J28:K28"/>
    <mergeCell ref="E29:F29"/>
    <mergeCell ref="J29:K29"/>
    <mergeCell ref="E31:F31"/>
    <mergeCell ref="J31:K31"/>
    <mergeCell ref="E32:F32"/>
    <mergeCell ref="J32:K32"/>
    <mergeCell ref="E33:F33"/>
    <mergeCell ref="J33:K33"/>
    <mergeCell ref="E34:F34"/>
    <mergeCell ref="J34:K34"/>
    <mergeCell ref="E35:F35"/>
    <mergeCell ref="J35:K35"/>
    <mergeCell ref="E36:F36"/>
    <mergeCell ref="J36:K36"/>
    <mergeCell ref="A42:B42"/>
    <mergeCell ref="C42:K42"/>
    <mergeCell ref="E37:F37"/>
    <mergeCell ref="J37:K37"/>
    <mergeCell ref="E38:F38"/>
    <mergeCell ref="J38:K38"/>
    <mergeCell ref="E39:F39"/>
    <mergeCell ref="J39:K39"/>
    <mergeCell ref="E40:G40"/>
    <mergeCell ref="H40:I40"/>
    <mergeCell ref="J40:K40"/>
    <mergeCell ref="A41:B41"/>
    <mergeCell ref="C41:K41"/>
    <mergeCell ref="B53:K53"/>
    <mergeCell ref="A43:B43"/>
    <mergeCell ref="C43:K43"/>
    <mergeCell ref="A44:B44"/>
    <mergeCell ref="C44:K44"/>
    <mergeCell ref="A45:F47"/>
    <mergeCell ref="G45:K47"/>
    <mergeCell ref="A48:K48"/>
    <mergeCell ref="B49:K49"/>
    <mergeCell ref="B50:K50"/>
    <mergeCell ref="B51:K51"/>
    <mergeCell ref="B52:K52"/>
    <mergeCell ref="A64:K64"/>
    <mergeCell ref="B54:K54"/>
    <mergeCell ref="B55:K55"/>
    <mergeCell ref="B56:K56"/>
    <mergeCell ref="B57:K57"/>
    <mergeCell ref="B58:K58"/>
    <mergeCell ref="A59:K59"/>
    <mergeCell ref="A60:I60"/>
    <mergeCell ref="J60:K60"/>
    <mergeCell ref="A61:K61"/>
    <mergeCell ref="A62:K62"/>
    <mergeCell ref="A63:K63"/>
    <mergeCell ref="A65:K65"/>
    <mergeCell ref="A66:F72"/>
    <mergeCell ref="G66:K72"/>
    <mergeCell ref="A73:XFD73"/>
    <mergeCell ref="A74:F81"/>
    <mergeCell ref="G74:K81"/>
  </mergeCells>
  <pageMargins left="0.7" right="0.7" top="0.75" bottom="0.75" header="0.3" footer="0.3"/>
  <pageSetup scale="10" orientation="portrait" r:id="rId1"/>
  <rowBreaks count="2" manualBreakCount="2">
    <brk id="26" max="10" man="1"/>
    <brk id="47" max="10" man="1"/>
  </rowBreaks>
  <colBreaks count="1" manualBreakCount="1">
    <brk id="11" max="126"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MR. SAGAR DUBERKAR</vt:lpstr>
      <vt:lpstr>'MR. SAGAR DUBERKAR'!Print_Area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bhamare</dc:creator>
  <cp:lastModifiedBy>Neesha Bangera</cp:lastModifiedBy>
  <dcterms:created xsi:type="dcterms:W3CDTF">2026-10-19T09:07:18Z</dcterms:created>
  <dcterms:modified xsi:type="dcterms:W3CDTF">2026-10-19T17:33:11Z</dcterms:modified>
</cp:coreProperties>
</file>